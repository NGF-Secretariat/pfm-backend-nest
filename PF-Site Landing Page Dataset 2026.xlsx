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devclassik/Documents/NGF/docs/"/>
    </mc:Choice>
  </mc:AlternateContent>
  <xr:revisionPtr revIDLastSave="0" documentId="13_ncr:1_{F0EA348C-77A3-7248-A92C-59F787A7FBEF}" xr6:coauthVersionLast="47" xr6:coauthVersionMax="47" xr10:uidLastSave="{00000000-0000-0000-0000-000000000000}"/>
  <bookViews>
    <workbookView xWindow="0" yWindow="660" windowWidth="30240" windowHeight="18980" firstSheet="3" activeTab="8" xr2:uid="{00000000-000D-0000-FFFF-FFFF00000000}"/>
  </bookViews>
  <sheets>
    <sheet name="Actual_Revenue" sheetId="15" r:id="rId1"/>
    <sheet name="Actual_Expenditure " sheetId="14" r:id="rId2"/>
    <sheet name="Total_Budget_Revenue " sheetId="9" r:id="rId3"/>
    <sheet name="Total_Budget_Expenditure" sheetId="4" r:id="rId4"/>
    <sheet name="Total_Expen_Original_and_Actual" sheetId="5" r:id="rId5"/>
    <sheet name="Geo_Pol_Original_Exp" sheetId="7" r:id="rId6"/>
    <sheet name="Expenditure_by_Function" sheetId="8" r:id="rId7"/>
    <sheet name="Expenditure_by_Programme" sheetId="11" r:id="rId8"/>
    <sheet name="Population" sheetId="12" r:id="rId9"/>
    <sheet name="Population_23_Act_Total Exp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1" l="1"/>
  <c r="C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D64" i="8"/>
  <c r="C64" i="8"/>
  <c r="E64" i="8" s="1"/>
  <c r="E61" i="8"/>
  <c r="E60" i="8"/>
  <c r="E59" i="8"/>
  <c r="E58" i="8"/>
  <c r="E57" i="8"/>
  <c r="E56" i="8"/>
  <c r="E55" i="8"/>
  <c r="E54" i="8"/>
  <c r="E53" i="8"/>
  <c r="G31" i="7"/>
  <c r="G30" i="7"/>
  <c r="G29" i="7"/>
  <c r="G28" i="7"/>
  <c r="G27" i="7"/>
  <c r="G26" i="7"/>
  <c r="C30" i="7"/>
  <c r="C29" i="7"/>
  <c r="C28" i="7"/>
  <c r="C27" i="7"/>
  <c r="C26" i="7"/>
  <c r="G19" i="7"/>
  <c r="G18" i="7"/>
  <c r="G17" i="7"/>
  <c r="G16" i="7"/>
  <c r="G15" i="7"/>
  <c r="G14" i="7"/>
  <c r="C17" i="7"/>
  <c r="C19" i="7"/>
  <c r="C20" i="7"/>
  <c r="C18" i="7"/>
  <c r="C16" i="7"/>
  <c r="C15" i="7"/>
  <c r="C14" i="7"/>
  <c r="G8" i="7"/>
  <c r="G7" i="7"/>
  <c r="G6" i="7"/>
  <c r="G5" i="7"/>
  <c r="G4" i="7"/>
  <c r="G3" i="7"/>
  <c r="C8" i="7"/>
  <c r="C7" i="7"/>
  <c r="C6" i="7"/>
  <c r="C5" i="7"/>
  <c r="C4" i="7"/>
  <c r="C3" i="7"/>
  <c r="C11" i="5"/>
  <c r="B11" i="5"/>
  <c r="E38" i="4"/>
  <c r="E38" i="9"/>
  <c r="C38" i="12"/>
  <c r="B38" i="15"/>
  <c r="C38" i="15"/>
  <c r="D38" i="15"/>
  <c r="E38" i="15"/>
  <c r="B38" i="14"/>
  <c r="C38" i="14"/>
  <c r="D38" i="14"/>
  <c r="E38" i="14"/>
  <c r="F9" i="5" s="1"/>
  <c r="E9" i="5"/>
  <c r="E80" i="11" l="1"/>
  <c r="C38" i="13"/>
  <c r="B38" i="13"/>
  <c r="B38" i="12"/>
  <c r="E53" i="11"/>
  <c r="C53" i="11"/>
  <c r="D53" i="11"/>
  <c r="E52" i="11"/>
  <c r="F8" i="5"/>
  <c r="E8" i="5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D46" i="8"/>
  <c r="C46" i="8"/>
  <c r="E43" i="8"/>
  <c r="E42" i="8"/>
  <c r="E41" i="8"/>
  <c r="E40" i="8"/>
  <c r="E39" i="8"/>
  <c r="E38" i="8"/>
  <c r="E37" i="8"/>
  <c r="E36" i="8"/>
  <c r="E35" i="8"/>
  <c r="B10" i="5"/>
  <c r="C10" i="5"/>
  <c r="D38" i="4"/>
  <c r="D38" i="9"/>
  <c r="D26" i="11"/>
  <c r="C26" i="11"/>
  <c r="E9" i="11"/>
  <c r="E17" i="11"/>
  <c r="E18" i="11"/>
  <c r="E19" i="11"/>
  <c r="E20" i="11"/>
  <c r="E21" i="11"/>
  <c r="E22" i="11"/>
  <c r="E23" i="11"/>
  <c r="E24" i="11"/>
  <c r="E12" i="11"/>
  <c r="E13" i="11"/>
  <c r="E14" i="11"/>
  <c r="E15" i="11"/>
  <c r="E16" i="11"/>
  <c r="E4" i="11"/>
  <c r="E5" i="11"/>
  <c r="E6" i="11"/>
  <c r="E7" i="11"/>
  <c r="E8" i="11"/>
  <c r="E10" i="11"/>
  <c r="E11" i="11"/>
  <c r="E46" i="8" l="1"/>
  <c r="E26" i="11"/>
  <c r="E7" i="5"/>
  <c r="F7" i="5"/>
  <c r="C9" i="5"/>
  <c r="B9" i="5"/>
  <c r="B38" i="4"/>
  <c r="C38" i="4"/>
  <c r="C38" i="9"/>
  <c r="B38" i="9"/>
  <c r="D31" i="8"/>
  <c r="C31" i="8"/>
  <c r="E28" i="8"/>
  <c r="E27" i="8"/>
  <c r="E26" i="8"/>
  <c r="E25" i="8"/>
  <c r="E24" i="8"/>
  <c r="E23" i="8"/>
  <c r="E22" i="8"/>
  <c r="E21" i="8"/>
  <c r="E20" i="8"/>
  <c r="E31" i="8" l="1"/>
  <c r="D15" i="8"/>
  <c r="C15" i="8"/>
  <c r="E15" i="8" l="1"/>
  <c r="E10" i="8"/>
  <c r="E9" i="8"/>
  <c r="E5" i="8" l="1"/>
  <c r="E7" i="8" l="1"/>
  <c r="E4" i="8"/>
  <c r="E6" i="8"/>
  <c r="E11" i="8"/>
  <c r="E8" i="8" l="1"/>
  <c r="E12" i="8" l="1"/>
</calcChain>
</file>

<file path=xl/sharedStrings.xml><?xml version="1.0" encoding="utf-8"?>
<sst xmlns="http://schemas.openxmlformats.org/spreadsheetml/2006/main" count="465" uniqueCount="150">
  <si>
    <t>Year</t>
  </si>
  <si>
    <t>State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</si>
  <si>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</si>
  <si>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</si>
  <si>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</si>
  <si>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</si>
  <si>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</si>
  <si>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</si>
  <si>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</si>
  <si>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</si>
  <si>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</si>
  <si>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</si>
  <si>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</si>
  <si>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</si>
  <si>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</si>
  <si>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</si>
  <si>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</si>
  <si>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</si>
  <si>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</si>
  <si>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</si>
  <si>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</si>
  <si>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</si>
  <si>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</si>
  <si>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</si>
  <si>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</si>
  <si>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</si>
  <si>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</si>
  <si>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</si>
  <si>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</si>
  <si>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</si>
  <si>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</si>
  <si>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</si>
  <si>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</si>
  <si>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</si>
  <si>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</si>
  <si>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</si>
  <si>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</si>
  <si>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</si>
  <si>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Ekiti</t>
  </si>
  <si>
    <t>Lagos</t>
  </si>
  <si>
    <t>Ondo</t>
  </si>
  <si>
    <t>Osun</t>
  </si>
  <si>
    <t>Oyo</t>
  </si>
  <si>
    <t>Ogun</t>
  </si>
  <si>
    <t>Jigawa</t>
  </si>
  <si>
    <t>Kano</t>
  </si>
  <si>
    <t>Katsina</t>
  </si>
  <si>
    <t>Kaduna</t>
  </si>
  <si>
    <t>Kebbi</t>
  </si>
  <si>
    <t>Zamfara</t>
  </si>
  <si>
    <t>Sokoto</t>
  </si>
  <si>
    <t>Abia</t>
  </si>
  <si>
    <t>Imo</t>
  </si>
  <si>
    <t>Ebonyi</t>
  </si>
  <si>
    <t>Enugu</t>
  </si>
  <si>
    <t>Anambra</t>
  </si>
  <si>
    <t>Adamawa</t>
  </si>
  <si>
    <t>Bauchi</t>
  </si>
  <si>
    <t>Borno</t>
  </si>
  <si>
    <t>Gombe</t>
  </si>
  <si>
    <t>Taraba</t>
  </si>
  <si>
    <t>Yobe</t>
  </si>
  <si>
    <t>Akwa Ibom</t>
  </si>
  <si>
    <t>Bayelsa</t>
  </si>
  <si>
    <t>Cross River</t>
  </si>
  <si>
    <t>Delta</t>
  </si>
  <si>
    <t>Edo</t>
  </si>
  <si>
    <t>Rivers</t>
  </si>
  <si>
    <t>Benue</t>
  </si>
  <si>
    <t>Kogi</t>
  </si>
  <si>
    <t>Kwara</t>
  </si>
  <si>
    <t>Nasarawa</t>
  </si>
  <si>
    <t>Niger</t>
  </si>
  <si>
    <t>Plateau</t>
  </si>
  <si>
    <t>Actual Expenditure 2021</t>
  </si>
  <si>
    <t xml:space="preserve">Actual </t>
  </si>
  <si>
    <t>Original</t>
  </si>
  <si>
    <t>Revenue (not including opening balance)</t>
  </si>
  <si>
    <t xml:space="preserve">Expenditure </t>
  </si>
  <si>
    <t>S/No</t>
  </si>
  <si>
    <t>South-West</t>
  </si>
  <si>
    <t>North-West</t>
  </si>
  <si>
    <t>South-East</t>
  </si>
  <si>
    <t>North-East</t>
  </si>
  <si>
    <t>South-South</t>
  </si>
  <si>
    <t>North-Central</t>
  </si>
  <si>
    <t xml:space="preserve">General Public Service </t>
  </si>
  <si>
    <t xml:space="preserve">Public Order &amp; Safety </t>
  </si>
  <si>
    <t xml:space="preserve">Economic Affairs </t>
  </si>
  <si>
    <t>Environmental Protection</t>
  </si>
  <si>
    <t>Housing and Community Ammenities</t>
  </si>
  <si>
    <t>Health</t>
  </si>
  <si>
    <t>Recreation and Culture</t>
  </si>
  <si>
    <t>Education</t>
  </si>
  <si>
    <t>Social Protection</t>
  </si>
  <si>
    <t xml:space="preserve">Recurrent </t>
  </si>
  <si>
    <t>Capital</t>
  </si>
  <si>
    <t xml:space="preserve">Total </t>
  </si>
  <si>
    <t>Description</t>
  </si>
  <si>
    <t>Total</t>
  </si>
  <si>
    <t xml:space="preserve">2023 Budget </t>
  </si>
  <si>
    <t>Total Expenditure 2023</t>
  </si>
  <si>
    <t>Actual Expenditure 2022</t>
  </si>
  <si>
    <t>Actual Expenditure 2023</t>
  </si>
  <si>
    <t>Actual Expenditure 2024</t>
  </si>
  <si>
    <t>Total Expenditure 2024</t>
  </si>
  <si>
    <t>TOTAL</t>
  </si>
  <si>
    <t xml:space="preserve">2024 Budget </t>
  </si>
  <si>
    <t>TOTAL:</t>
  </si>
  <si>
    <t>Total Revenue 2023</t>
  </si>
  <si>
    <t>Total Revenue 2024</t>
  </si>
  <si>
    <t>Actual Revenue 2022</t>
  </si>
  <si>
    <t>Actual Revenue 2021</t>
  </si>
  <si>
    <t>Agriculture</t>
  </si>
  <si>
    <t>Societal Re-orientation</t>
  </si>
  <si>
    <t>Poverty Alleviation</t>
  </si>
  <si>
    <t xml:space="preserve">Health </t>
  </si>
  <si>
    <t>Housing and Urban Development</t>
  </si>
  <si>
    <t>Gender</t>
  </si>
  <si>
    <t>Youth</t>
  </si>
  <si>
    <t>Environmental Improvement</t>
  </si>
  <si>
    <t>Water Resources and Rural Development</t>
  </si>
  <si>
    <t>Information Communication and Technology</t>
  </si>
  <si>
    <t>Growing the Private Sector</t>
  </si>
  <si>
    <t>Reform of Government and Governance</t>
  </si>
  <si>
    <t>Power</t>
  </si>
  <si>
    <t>Rail</t>
  </si>
  <si>
    <t>Water Ways</t>
  </si>
  <si>
    <t>Road</t>
  </si>
  <si>
    <t>Airways</t>
  </si>
  <si>
    <t>COVID-19</t>
  </si>
  <si>
    <t>Oil and Gas Infrastructure</t>
  </si>
  <si>
    <t>Climate Change</t>
  </si>
  <si>
    <t>2024 Budget (Expenditure By Programme)</t>
  </si>
  <si>
    <t>Actual Revenue 2023</t>
  </si>
  <si>
    <t>Total Revenue 2025</t>
  </si>
  <si>
    <t>Total Expenditure 2025</t>
  </si>
  <si>
    <t xml:space="preserve">2025 Budget </t>
  </si>
  <si>
    <t>2025 Budget (Expenditure By Programme)</t>
  </si>
  <si>
    <t>Solid Minerals</t>
  </si>
  <si>
    <t>2024 Population</t>
  </si>
  <si>
    <t>Actual Total Expenditure 2023</t>
  </si>
  <si>
    <t xml:space="preserve"> Population 2024</t>
  </si>
  <si>
    <t>Actual Revenue 2024</t>
  </si>
  <si>
    <t>2025 Population</t>
  </si>
  <si>
    <t>Total Revenue 2026</t>
  </si>
  <si>
    <t>Total Expenditure 2026</t>
  </si>
  <si>
    <t>Original Budget 2026</t>
  </si>
  <si>
    <t xml:space="preserve">2026 Budget </t>
  </si>
  <si>
    <t>2026 Budget (Expenditure By Programme)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</si>
</sst>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ndara"/>
      <family val="2"/>
    </font>
    <font>
      <sz val="10"/>
      <color rgb="FF000000"/>
      <name val="Calibri"/>
      <family val="2"/>
      <scheme val="minor"/>
    </font>
    <font>
      <sz val="12"/>
      <color theme="1"/>
      <name val="Candara"/>
      <family val="2"/>
    </font>
    <font>
      <sz val="11"/>
      <color theme="1"/>
      <name val="Candara"/>
      <family val="2"/>
    </font>
    <font>
      <sz val="11"/>
      <color rgb="FF000000"/>
      <name val="Candara"/>
      <family val="2"/>
    </font>
    <font>
      <b/>
      <sz val="11"/>
      <color theme="1"/>
      <name val="Candara"/>
      <family val="2"/>
    </font>
    <font>
      <b/>
      <sz val="10"/>
      <color rgb="FF000000"/>
      <name val="Candara"/>
      <family val="2"/>
    </font>
    <font>
      <sz val="11"/>
      <name val="Candara"/>
      <family val="2"/>
    </font>
    <font>
      <b/>
      <sz val="11"/>
      <name val="Candara"/>
      <family val="2"/>
    </font>
    <font>
      <sz val="12"/>
      <name val="Candara"/>
      <family val="2"/>
    </font>
    <font>
      <sz val="12"/>
      <color rgb="FF000000"/>
      <name val="Candara"/>
      <family val="2"/>
    </font>
    <font>
      <b/>
      <sz val="12"/>
      <color rgb="FF000000"/>
      <name val="Candara"/>
      <family val="2"/>
    </font>
    <font>
      <b/>
      <sz val="12"/>
      <color theme="5"/>
      <name val="Candara"/>
      <family val="2"/>
    </font>
    <font>
      <sz val="8"/>
      <name val="Calibri"/>
      <family val="2"/>
      <scheme val="minor"/>
    </font>
    <font>
      <b/>
      <sz val="11"/>
      <color rgb="FF000000"/>
      <name val="Candara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43" fontId="4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left"/>
    </xf>
    <xf numFmtId="4" fontId="5" fillId="0" borderId="0" xfId="0" applyNumberFormat="1" applyFont="1"/>
    <xf numFmtId="0" fontId="6" fillId="0" borderId="0" xfId="0" applyFont="1" applyAlignment="1">
      <alignment horizontal="left"/>
    </xf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43" fontId="6" fillId="0" borderId="0" xfId="1" applyFont="1" applyAlignment="1">
      <alignment horizontal="left"/>
    </xf>
    <xf numFmtId="4" fontId="6" fillId="0" borderId="0" xfId="0" applyNumberFormat="1" applyFont="1" applyAlignment="1">
      <alignment horizontal="left"/>
    </xf>
    <xf numFmtId="0" fontId="10" fillId="0" borderId="0" xfId="0" applyFont="1"/>
    <xf numFmtId="4" fontId="10" fillId="2" borderId="1" xfId="0" applyNumberFormat="1" applyFont="1" applyFill="1" applyBorder="1"/>
    <xf numFmtId="4" fontId="10" fillId="2" borderId="1" xfId="0" applyNumberFormat="1" applyFont="1" applyFill="1" applyBorder="1" applyAlignment="1">
      <alignment vertical="top"/>
    </xf>
    <xf numFmtId="0" fontId="11" fillId="0" borderId="1" xfId="0" applyFont="1" applyBorder="1"/>
    <xf numFmtId="0" fontId="10" fillId="0" borderId="1" xfId="0" applyFont="1" applyBorder="1"/>
    <xf numFmtId="164" fontId="13" fillId="0" borderId="0" xfId="0" applyNumberFormat="1" applyFont="1"/>
    <xf numFmtId="0" fontId="13" fillId="0" borderId="0" xfId="0" applyFont="1"/>
    <xf numFmtId="0" fontId="13" fillId="0" borderId="1" xfId="0" applyFont="1" applyBorder="1"/>
    <xf numFmtId="0" fontId="14" fillId="4" borderId="6" xfId="0" applyFont="1" applyFill="1" applyBorder="1"/>
    <xf numFmtId="0" fontId="14" fillId="4" borderId="7" xfId="0" applyFont="1" applyFill="1" applyBorder="1" applyAlignment="1">
      <alignment horizontal="center"/>
    </xf>
    <xf numFmtId="0" fontId="13" fillId="0" borderId="8" xfId="0" applyFont="1" applyBorder="1"/>
    <xf numFmtId="164" fontId="14" fillId="0" borderId="9" xfId="0" applyNumberFormat="1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10" xfId="0" applyFont="1" applyBorder="1"/>
    <xf numFmtId="43" fontId="13" fillId="0" borderId="11" xfId="1" applyFont="1" applyBorder="1"/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13" fillId="0" borderId="11" xfId="0" applyFont="1" applyBorder="1"/>
    <xf numFmtId="43" fontId="13" fillId="0" borderId="12" xfId="0" applyNumberFormat="1" applyFont="1" applyBorder="1"/>
    <xf numFmtId="4" fontId="13" fillId="0" borderId="1" xfId="0" applyNumberFormat="1" applyFont="1" applyBorder="1"/>
    <xf numFmtId="4" fontId="10" fillId="0" borderId="0" xfId="0" applyNumberFormat="1" applyFont="1"/>
    <xf numFmtId="43" fontId="2" fillId="0" borderId="0" xfId="1" applyFont="1" applyAlignment="1">
      <alignment horizontal="left"/>
    </xf>
    <xf numFmtId="43" fontId="0" fillId="0" borderId="0" xfId="1" applyFont="1"/>
    <xf numFmtId="0" fontId="8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43" fontId="6" fillId="0" borderId="1" xfId="1" applyFont="1" applyBorder="1" applyAlignment="1">
      <alignment horizontal="left"/>
    </xf>
    <xf numFmtId="43" fontId="3" fillId="0" borderId="1" xfId="1" applyFont="1" applyBorder="1"/>
    <xf numFmtId="0" fontId="3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43" fontId="7" fillId="0" borderId="0" xfId="1" applyFont="1"/>
    <xf numFmtId="43" fontId="7" fillId="0" borderId="1" xfId="1" applyFont="1" applyBorder="1"/>
    <xf numFmtId="0" fontId="8" fillId="0" borderId="1" xfId="0" applyFont="1" applyBorder="1" applyAlignment="1">
      <alignment horizontal="center"/>
    </xf>
    <xf numFmtId="43" fontId="6" fillId="0" borderId="1" xfId="0" applyNumberFormat="1" applyFont="1" applyBorder="1" applyAlignment="1">
      <alignment horizontal="left"/>
    </xf>
    <xf numFmtId="0" fontId="17" fillId="0" borderId="1" xfId="0" applyFont="1" applyBorder="1"/>
    <xf numFmtId="43" fontId="8" fillId="0" borderId="1" xfId="0" applyNumberFormat="1" applyFont="1" applyBorder="1" applyAlignment="1">
      <alignment horizontal="left"/>
    </xf>
    <xf numFmtId="0" fontId="17" fillId="0" borderId="0" xfId="0" applyFont="1"/>
    <xf numFmtId="43" fontId="6" fillId="0" borderId="1" xfId="0" applyNumberFormat="1" applyFont="1" applyBorder="1" applyAlignment="1">
      <alignment horizontal="right"/>
    </xf>
    <xf numFmtId="0" fontId="13" fillId="0" borderId="8" xfId="0" applyFont="1" applyBorder="1" applyAlignment="1">
      <alignment horizontal="center"/>
    </xf>
    <xf numFmtId="0" fontId="13" fillId="5" borderId="1" xfId="0" applyFont="1" applyFill="1" applyBorder="1"/>
    <xf numFmtId="0" fontId="12" fillId="5" borderId="1" xfId="0" applyFont="1" applyFill="1" applyBorder="1" applyAlignment="1">
      <alignment horizontal="justify" vertical="center" wrapText="1"/>
    </xf>
    <xf numFmtId="43" fontId="13" fillId="0" borderId="1" xfId="1" applyFont="1" applyBorder="1"/>
    <xf numFmtId="43" fontId="10" fillId="0" borderId="1" xfId="1" applyFont="1" applyBorder="1" applyAlignment="1"/>
    <xf numFmtId="43" fontId="10" fillId="0" borderId="1" xfId="0" applyNumberFormat="1" applyFont="1" applyBorder="1"/>
    <xf numFmtId="4" fontId="10" fillId="3" borderId="1" xfId="0" applyNumberFormat="1" applyFont="1" applyFill="1" applyBorder="1"/>
    <xf numFmtId="4" fontId="10" fillId="3" borderId="1" xfId="0" applyNumberFormat="1" applyFont="1" applyFill="1" applyBorder="1" applyAlignment="1">
      <alignment vertical="top"/>
    </xf>
    <xf numFmtId="4" fontId="10" fillId="3" borderId="1" xfId="0" applyNumberFormat="1" applyFont="1" applyFill="1" applyBorder="1" applyAlignment="1">
      <alignment horizontal="right"/>
    </xf>
    <xf numFmtId="43" fontId="14" fillId="0" borderId="11" xfId="1" applyFont="1" applyBorder="1"/>
    <xf numFmtId="43" fontId="14" fillId="0" borderId="12" xfId="0" applyNumberFormat="1" applyFont="1" applyBorder="1"/>
    <xf numFmtId="0" fontId="14" fillId="0" borderId="7" xfId="0" applyFont="1" applyBorder="1"/>
    <xf numFmtId="43" fontId="14" fillId="0" borderId="1" xfId="0" applyNumberFormat="1" applyFont="1" applyBorder="1"/>
    <xf numFmtId="43" fontId="14" fillId="0" borderId="1" xfId="1" applyFont="1" applyBorder="1"/>
    <xf numFmtId="0" fontId="8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4" fontId="14" fillId="0" borderId="1" xfId="0" applyNumberFormat="1" applyFont="1" applyBorder="1"/>
    <xf numFmtId="0" fontId="7" fillId="0" borderId="0" xfId="3" applyFont="1"/>
    <xf numFmtId="0" fontId="6" fillId="0" borderId="0" xfId="3" applyFont="1" applyAlignment="1">
      <alignment horizontal="left"/>
    </xf>
    <xf numFmtId="43" fontId="7" fillId="0" borderId="0" xfId="4" applyFont="1"/>
    <xf numFmtId="43" fontId="6" fillId="0" borderId="0" xfId="4" applyFont="1" applyAlignment="1">
      <alignment horizontal="left"/>
    </xf>
    <xf numFmtId="0" fontId="17" fillId="0" borderId="0" xfId="3" applyFont="1"/>
    <xf numFmtId="0" fontId="8" fillId="0" borderId="0" xfId="3" applyFont="1" applyAlignment="1">
      <alignment horizontal="left"/>
    </xf>
    <xf numFmtId="43" fontId="8" fillId="0" borderId="1" xfId="3" applyNumberFormat="1" applyFont="1" applyBorder="1" applyAlignment="1">
      <alignment horizontal="left"/>
    </xf>
    <xf numFmtId="0" fontId="17" fillId="0" borderId="1" xfId="3" applyFont="1" applyBorder="1"/>
    <xf numFmtId="43" fontId="7" fillId="0" borderId="1" xfId="4" applyFont="1" applyBorder="1"/>
    <xf numFmtId="0" fontId="6" fillId="0" borderId="1" xfId="3" applyFont="1" applyBorder="1"/>
    <xf numFmtId="43" fontId="6" fillId="0" borderId="1" xfId="4" applyFont="1" applyBorder="1" applyAlignment="1">
      <alignment horizontal="left"/>
    </xf>
    <xf numFmtId="4" fontId="7" fillId="0" borderId="0" xfId="3" applyNumberFormat="1" applyFont="1"/>
    <xf numFmtId="0" fontId="8" fillId="0" borderId="1" xfId="3" applyFont="1" applyBorder="1" applyAlignment="1">
      <alignment horizontal="center"/>
    </xf>
    <xf numFmtId="0" fontId="18" fillId="0" borderId="0" xfId="3"/>
    <xf numFmtId="0" fontId="3" fillId="0" borderId="0" xfId="3" applyFont="1"/>
    <xf numFmtId="0" fontId="1" fillId="0" borderId="0" xfId="3" applyFont="1" applyAlignment="1">
      <alignment horizontal="left"/>
    </xf>
    <xf numFmtId="43" fontId="0" fillId="0" borderId="0" xfId="4" applyFont="1"/>
    <xf numFmtId="43" fontId="1" fillId="0" borderId="0" xfId="4" applyFont="1" applyAlignment="1">
      <alignment horizontal="left"/>
    </xf>
    <xf numFmtId="43" fontId="3" fillId="0" borderId="1" xfId="4" applyFont="1" applyBorder="1"/>
    <xf numFmtId="4" fontId="5" fillId="0" borderId="0" xfId="3" applyNumberFormat="1" applyFont="1"/>
    <xf numFmtId="43" fontId="6" fillId="0" borderId="15" xfId="0" applyNumberFormat="1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43" fontId="13" fillId="0" borderId="0" xfId="1" applyFont="1"/>
    <xf numFmtId="0" fontId="12" fillId="5" borderId="1" xfId="0" applyFont="1" applyFill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5">
    <cellStyle name="Comma" xfId="1" builtinId="3"/>
    <cellStyle name="Comma 2" xfId="2" xr:uid="{7D904F50-227E-9E4D-A93B-89E008CFB9F1}"/>
    <cellStyle name="Comma 2 2" xfId="4" xr:uid="{74747954-5256-4CD3-A434-9539CB8248AC}"/>
    <cellStyle name="Normal" xfId="0" builtinId="0"/>
    <cellStyle name="Normal 3" xfId="3" xr:uid="{9ED7D715-7E5B-49F9-A8A5-5F7A1A14CD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30CB-D47C-478D-9683-65343C62C52F}">
  <sheetPr>
    <tabColor theme="4"/>
    <outlinePr summaryBelow="0" summaryRight="0"/>
  </sheetPr>
  <dimension ref="A1:AM1000"/>
  <sheetViews>
    <sheetView workbookViewId="0">
      <selection activeCell="D43" sqref="D43"/>
    </sheetView>
  </sheetViews>
  <sheetFormatPr baseColWidth="10" defaultColWidth="14.3984375" defaultRowHeight="15.75" customHeight="1" x14ac:dyDescent="0.2"/>
  <cols>
    <col min="1" max="1" width="18" style="69" customWidth="1"/>
    <col min="2" max="2" width="24" style="83" customWidth="1"/>
    <col min="3" max="3" width="25" style="82" customWidth="1"/>
    <col min="4" max="4" width="23" style="82" bestFit="1" customWidth="1"/>
    <col min="5" max="5" width="31.59765625" style="82" customWidth="1"/>
    <col min="6" max="7" width="22.19921875" style="82" bestFit="1" customWidth="1"/>
    <col min="8" max="8" width="23.796875" style="82" bestFit="1" customWidth="1"/>
    <col min="9" max="14" width="22.19921875" style="82" bestFit="1" customWidth="1"/>
    <col min="15" max="15" width="22.59765625" style="82" bestFit="1" customWidth="1"/>
    <col min="16" max="16" width="22.19921875" style="82" bestFit="1" customWidth="1"/>
    <col min="17" max="17" width="22.3984375" style="82" bestFit="1" customWidth="1"/>
    <col min="18" max="23" width="22.19921875" style="82" bestFit="1" customWidth="1"/>
    <col min="24" max="24" width="23.796875" style="82" bestFit="1" customWidth="1"/>
    <col min="25" max="25" width="21.59765625" style="82" bestFit="1" customWidth="1"/>
    <col min="26" max="27" width="21.19921875" style="82" bestFit="1" customWidth="1"/>
    <col min="28" max="28" width="22.3984375" style="82" bestFit="1" customWidth="1"/>
    <col min="29" max="30" width="22.19921875" style="82" bestFit="1" customWidth="1"/>
    <col min="31" max="31" width="21.19921875" style="82" bestFit="1" customWidth="1"/>
    <col min="32" max="32" width="22.796875" style="82" bestFit="1" customWidth="1"/>
    <col min="33" max="33" width="22" style="82" bestFit="1" customWidth="1"/>
    <col min="34" max="35" width="22.3984375" style="82" bestFit="1" customWidth="1"/>
    <col min="36" max="36" width="21.3984375" style="82" bestFit="1" customWidth="1"/>
    <col min="37" max="39" width="18.59765625" style="82" bestFit="1" customWidth="1"/>
    <col min="40" max="16384" width="14.3984375" style="82"/>
  </cols>
  <sheetData>
    <row r="1" spans="1:39" ht="15" x14ac:dyDescent="0.2">
      <c r="A1" s="81" t="s">
        <v>1</v>
      </c>
      <c r="B1" s="81" t="s">
        <v>112</v>
      </c>
      <c r="C1" s="81" t="s">
        <v>111</v>
      </c>
      <c r="D1" s="81" t="s">
        <v>134</v>
      </c>
      <c r="E1" s="81" t="s">
        <v>143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39" ht="15.75" customHeight="1" x14ac:dyDescent="0.25">
      <c r="A2" s="78" t="s">
        <v>2</v>
      </c>
      <c r="B2" s="77">
        <v>124008793242.37997</v>
      </c>
      <c r="C2" s="77">
        <v>147637730867.72998</v>
      </c>
      <c r="D2" s="79">
        <v>168301985385.88998</v>
      </c>
      <c r="E2" s="79">
        <v>373299820771.71997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8"/>
    </row>
    <row r="3" spans="1:39" ht="15.75" customHeight="1" x14ac:dyDescent="0.2">
      <c r="A3" s="78" t="s">
        <v>3</v>
      </c>
      <c r="B3" s="79">
        <v>94208535954.270004</v>
      </c>
      <c r="C3" s="79">
        <v>109722949684.64999</v>
      </c>
      <c r="D3" s="79">
        <v>160922703105.69998</v>
      </c>
      <c r="E3" s="79">
        <v>288477224483.89001</v>
      </c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39" ht="15.75" customHeight="1" x14ac:dyDescent="0.2">
      <c r="A4" s="78" t="s">
        <v>4</v>
      </c>
      <c r="B4" s="79">
        <v>378570288000</v>
      </c>
      <c r="C4" s="79">
        <v>444288683000</v>
      </c>
      <c r="D4" s="79">
        <v>483513096000</v>
      </c>
      <c r="E4" s="79">
        <v>1070449162000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39" ht="15.75" customHeight="1" x14ac:dyDescent="0.2">
      <c r="A5" s="78" t="s">
        <v>5</v>
      </c>
      <c r="B5" s="79">
        <v>113873596886.70001</v>
      </c>
      <c r="C5" s="79">
        <v>133583951056.80002</v>
      </c>
      <c r="D5" s="79">
        <v>173287077498.73001</v>
      </c>
      <c r="E5" s="79">
        <v>356867636310.09998</v>
      </c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39" ht="15" x14ac:dyDescent="0.2">
      <c r="A6" s="78" t="s">
        <v>6</v>
      </c>
      <c r="B6" s="79">
        <v>94882291267.290009</v>
      </c>
      <c r="C6" s="79">
        <v>154197823012.89001</v>
      </c>
      <c r="D6" s="79">
        <v>219785754150.86996</v>
      </c>
      <c r="E6" s="79">
        <v>361632866212.97998</v>
      </c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39" ht="15" x14ac:dyDescent="0.2">
      <c r="A7" s="78" t="s">
        <v>7</v>
      </c>
      <c r="B7" s="79">
        <v>240456234321.76999</v>
      </c>
      <c r="C7" s="79">
        <v>365373430191.44</v>
      </c>
      <c r="D7" s="79">
        <v>467261540060.31</v>
      </c>
      <c r="E7" s="79">
        <v>997226899839.75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39" ht="15" x14ac:dyDescent="0.2">
      <c r="A8" s="78" t="s">
        <v>8</v>
      </c>
      <c r="B8" s="79">
        <v>89565262909.650009</v>
      </c>
      <c r="C8" s="79">
        <v>113619147149.84</v>
      </c>
      <c r="D8" s="79">
        <v>147980377941.10999</v>
      </c>
      <c r="E8" s="79">
        <v>327649130832.09998</v>
      </c>
    </row>
    <row r="9" spans="1:39" ht="15" x14ac:dyDescent="0.2">
      <c r="A9" s="78" t="s">
        <v>9</v>
      </c>
      <c r="B9" s="79">
        <v>137956401838</v>
      </c>
      <c r="C9" s="79">
        <v>169773847058</v>
      </c>
      <c r="D9" s="79">
        <v>221247393912</v>
      </c>
      <c r="E9" s="79">
        <v>462727048082</v>
      </c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39" ht="15" x14ac:dyDescent="0.2">
      <c r="A10" s="78" t="s">
        <v>10</v>
      </c>
      <c r="B10" s="79">
        <v>145199952269.32999</v>
      </c>
      <c r="C10" s="79">
        <v>137570582850.54999</v>
      </c>
      <c r="D10" s="79">
        <v>174809358600.84</v>
      </c>
      <c r="E10" s="79">
        <v>532738374101.85101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39" ht="15" x14ac:dyDescent="0.2">
      <c r="A11" s="78" t="s">
        <v>11</v>
      </c>
      <c r="B11" s="79">
        <v>375675645860.88007</v>
      </c>
      <c r="C11" s="79">
        <v>702020717460.08008</v>
      </c>
      <c r="D11" s="79">
        <v>801181596654.57007</v>
      </c>
      <c r="E11" s="79">
        <v>1392165751294.48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39" ht="15" x14ac:dyDescent="0.2">
      <c r="A12" s="78" t="s">
        <v>12</v>
      </c>
      <c r="B12" s="79">
        <v>102103342507.09</v>
      </c>
      <c r="C12" s="79">
        <v>148054504987.03</v>
      </c>
      <c r="D12" s="79">
        <v>131956734201.41</v>
      </c>
      <c r="E12" s="79">
        <v>248503931143.95001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39" ht="15" x14ac:dyDescent="0.2">
      <c r="A13" s="78" t="s">
        <v>13</v>
      </c>
      <c r="B13" s="79">
        <v>181174063542.62</v>
      </c>
      <c r="C13" s="79">
        <v>207323073199.96997</v>
      </c>
      <c r="D13" s="79">
        <v>268907185330.17999</v>
      </c>
      <c r="E13" s="79">
        <v>482943006264.21002</v>
      </c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pans="1:39" ht="15" x14ac:dyDescent="0.2">
      <c r="A14" s="78" t="s">
        <v>14</v>
      </c>
      <c r="B14" s="79">
        <v>96004717158.240005</v>
      </c>
      <c r="C14" s="79">
        <v>117017178549.02002</v>
      </c>
      <c r="D14" s="79">
        <v>162598525721.76001</v>
      </c>
      <c r="E14" s="79">
        <v>402426923780.21997</v>
      </c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spans="1:39" ht="15" x14ac:dyDescent="0.2">
      <c r="A15" s="78" t="s">
        <v>15</v>
      </c>
      <c r="B15" s="79">
        <v>168771247882.88998</v>
      </c>
      <c r="C15" s="79">
        <v>134843757306.2</v>
      </c>
      <c r="D15" s="79">
        <v>200041647584.90005</v>
      </c>
      <c r="E15" s="79">
        <v>450285387451.15997</v>
      </c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spans="1:39" ht="15" x14ac:dyDescent="0.2">
      <c r="A16" s="78" t="s">
        <v>16</v>
      </c>
      <c r="B16" s="79">
        <v>90251623757.48999</v>
      </c>
      <c r="C16" s="79">
        <v>174817502408.34</v>
      </c>
      <c r="D16" s="79">
        <v>206828985459.23001</v>
      </c>
      <c r="E16" s="79">
        <v>377043128371.34003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15" x14ac:dyDescent="0.2">
      <c r="A17" s="78" t="s">
        <v>17</v>
      </c>
      <c r="B17" s="79">
        <v>147145521462.28</v>
      </c>
      <c r="C17" s="79">
        <v>223754073318.96997</v>
      </c>
      <c r="D17" s="79">
        <v>196221875227.72003</v>
      </c>
      <c r="E17" s="79">
        <v>363213736743.95001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15" x14ac:dyDescent="0.2">
      <c r="A18" s="78" t="s">
        <v>18</v>
      </c>
      <c r="B18" s="79">
        <v>129312583367.13002</v>
      </c>
      <c r="C18" s="79">
        <v>174164886299.59998</v>
      </c>
      <c r="D18" s="79">
        <v>292663503906.29999</v>
      </c>
      <c r="E18" s="79">
        <v>472113166428.12</v>
      </c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</row>
    <row r="19" spans="1:24" ht="15" x14ac:dyDescent="0.2">
      <c r="A19" s="78" t="s">
        <v>19</v>
      </c>
      <c r="B19" s="79">
        <v>198635459000</v>
      </c>
      <c r="C19" s="79">
        <v>222349875000</v>
      </c>
      <c r="D19" s="79">
        <v>256754141576</v>
      </c>
      <c r="E19" s="79">
        <v>495323136462.13</v>
      </c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spans="1:24" ht="15" x14ac:dyDescent="0.2">
      <c r="A20" s="78" t="s">
        <v>20</v>
      </c>
      <c r="B20" s="79">
        <v>203183650000</v>
      </c>
      <c r="C20" s="79">
        <v>211743245000</v>
      </c>
      <c r="D20" s="79">
        <v>272198606000</v>
      </c>
      <c r="E20" s="79">
        <v>536380810110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spans="1:24" ht="15" x14ac:dyDescent="0.2">
      <c r="A21" s="78" t="s">
        <v>21</v>
      </c>
      <c r="B21" s="79">
        <v>164460582680.82001</v>
      </c>
      <c r="C21" s="79">
        <v>151192850682.78998</v>
      </c>
      <c r="D21" s="79">
        <v>183176671731.90002</v>
      </c>
      <c r="E21" s="79">
        <v>386763452792.89001</v>
      </c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spans="1:24" ht="15" x14ac:dyDescent="0.2">
      <c r="A22" s="78" t="s">
        <v>22</v>
      </c>
      <c r="B22" s="79">
        <v>88673591778.690002</v>
      </c>
      <c r="C22" s="79">
        <v>92132444588.160004</v>
      </c>
      <c r="D22" s="87">
        <v>130753484858.10999</v>
      </c>
      <c r="E22" s="79">
        <v>173266136616.79999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spans="1:24" ht="15" x14ac:dyDescent="0.2">
      <c r="A23" s="78" t="s">
        <v>23</v>
      </c>
      <c r="B23" s="79">
        <v>88211089761.040009</v>
      </c>
      <c r="C23" s="79">
        <v>134800554363.94</v>
      </c>
      <c r="D23" s="87">
        <v>181800916336.86551</v>
      </c>
      <c r="E23" s="79">
        <v>461798829292.03003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spans="1:24" ht="15" x14ac:dyDescent="0.2">
      <c r="A24" s="78" t="s">
        <v>24</v>
      </c>
      <c r="B24" s="79">
        <v>123115534098.64999</v>
      </c>
      <c r="C24" s="79">
        <v>133776979540.26001</v>
      </c>
      <c r="D24" s="87">
        <v>192353226897.06998</v>
      </c>
      <c r="E24" s="79">
        <v>336144745961.65002</v>
      </c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spans="1:24" ht="15" x14ac:dyDescent="0.2">
      <c r="A25" s="78" t="s">
        <v>25</v>
      </c>
      <c r="B25" s="79">
        <v>770829706000</v>
      </c>
      <c r="C25" s="79">
        <v>1243778878170</v>
      </c>
      <c r="D25" s="87">
        <v>2120699325000</v>
      </c>
      <c r="E25" s="87">
        <v>2501463415773.8398</v>
      </c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spans="1:24" ht="15" x14ac:dyDescent="0.2">
      <c r="A26" s="78" t="s">
        <v>26</v>
      </c>
      <c r="B26" s="77">
        <v>110855344407.65001</v>
      </c>
      <c r="C26" s="87">
        <v>122372200088.64999</v>
      </c>
      <c r="D26" s="87">
        <v>170748029917.72</v>
      </c>
      <c r="E26" s="87">
        <v>368478129268.27002</v>
      </c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</row>
    <row r="27" spans="1:24" ht="15" x14ac:dyDescent="0.2">
      <c r="A27" s="78" t="s">
        <v>27</v>
      </c>
      <c r="B27" s="77">
        <v>105966196279</v>
      </c>
      <c r="C27" s="87">
        <v>150946381133</v>
      </c>
      <c r="D27" s="87">
        <v>228951630052.56998</v>
      </c>
      <c r="E27" s="87">
        <v>337849250457.84998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spans="1:24" ht="15" x14ac:dyDescent="0.2">
      <c r="A28" s="78" t="s">
        <v>28</v>
      </c>
      <c r="B28" s="77">
        <v>266593182571.09003</v>
      </c>
      <c r="C28" s="87">
        <v>297249009626.83002</v>
      </c>
      <c r="D28" s="87">
        <v>313017323725.28003</v>
      </c>
      <c r="E28" s="87">
        <v>587573755172.68005</v>
      </c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spans="1:24" ht="15" x14ac:dyDescent="0.2">
      <c r="A29" s="78" t="s">
        <v>29</v>
      </c>
      <c r="B29" s="77">
        <v>126045845147.02</v>
      </c>
      <c r="C29" s="87">
        <v>181458225010.12997</v>
      </c>
      <c r="D29" s="87">
        <v>204373703837.38995</v>
      </c>
      <c r="E29" s="87">
        <v>418822575201.91998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spans="1:24" ht="15" x14ac:dyDescent="0.2">
      <c r="A30" s="78" t="s">
        <v>30</v>
      </c>
      <c r="B30" s="77">
        <v>91164549384.169983</v>
      </c>
      <c r="C30" s="87">
        <v>132952664346.73999</v>
      </c>
      <c r="D30" s="87">
        <v>166984394522.84</v>
      </c>
      <c r="E30" s="87">
        <v>306413589889.23499</v>
      </c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</row>
    <row r="31" spans="1:24" ht="15" x14ac:dyDescent="0.2">
      <c r="A31" s="78" t="s">
        <v>31</v>
      </c>
      <c r="B31" s="77">
        <v>211182916357.70999</v>
      </c>
      <c r="C31" s="87">
        <v>247156776739.69998</v>
      </c>
      <c r="D31" s="87">
        <v>300474837608.10999</v>
      </c>
      <c r="E31" s="87">
        <v>522477233897.87</v>
      </c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1:24" ht="15" x14ac:dyDescent="0.2">
      <c r="A32" s="78" t="s">
        <v>32</v>
      </c>
      <c r="B32" s="77">
        <v>76622837082.22998</v>
      </c>
      <c r="C32" s="87">
        <v>123982914675.14999</v>
      </c>
      <c r="D32" s="87">
        <v>190088115166.92999</v>
      </c>
      <c r="E32" s="87">
        <v>326838854412.69</v>
      </c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</row>
    <row r="33" spans="1:36" ht="15" x14ac:dyDescent="0.2">
      <c r="A33" s="78" t="s">
        <v>33</v>
      </c>
      <c r="B33" s="77">
        <v>570394610257.79004</v>
      </c>
      <c r="C33" s="87">
        <v>525588159714.88</v>
      </c>
      <c r="D33" s="87">
        <v>775620244670.93994</v>
      </c>
      <c r="E33" s="87">
        <v>0</v>
      </c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1:36" ht="15" x14ac:dyDescent="0.2">
      <c r="A34" s="78" t="s">
        <v>34</v>
      </c>
      <c r="B34" s="77">
        <v>137876944287.23001</v>
      </c>
      <c r="C34" s="87">
        <v>175854606534.51001</v>
      </c>
      <c r="D34" s="87">
        <v>155037931217.67001</v>
      </c>
      <c r="E34" s="87">
        <v>325701609677.46002</v>
      </c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1:36" ht="15" x14ac:dyDescent="0.2">
      <c r="A35" s="78" t="s">
        <v>35</v>
      </c>
      <c r="B35" s="77">
        <v>80297753698.819992</v>
      </c>
      <c r="C35" s="87">
        <v>101177283069.87</v>
      </c>
      <c r="D35" s="87">
        <v>116539806860.32001</v>
      </c>
      <c r="E35" s="87">
        <v>313630807554.28003</v>
      </c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1:36" ht="15" x14ac:dyDescent="0.2">
      <c r="A36" s="78" t="s">
        <v>36</v>
      </c>
      <c r="B36" s="77">
        <v>111304545655.12</v>
      </c>
      <c r="C36" s="87">
        <v>127006768001</v>
      </c>
      <c r="D36" s="87">
        <v>153672797969.58002</v>
      </c>
      <c r="E36" s="87">
        <v>270007897743.70001</v>
      </c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1:36" ht="15" x14ac:dyDescent="0.2">
      <c r="A37" s="78" t="s">
        <v>37</v>
      </c>
      <c r="B37" s="77">
        <v>94451445600.23999</v>
      </c>
      <c r="C37" s="87">
        <v>134830832320</v>
      </c>
      <c r="D37" s="87">
        <v>158048611384.45001</v>
      </c>
      <c r="E37" s="87">
        <v>320132410834.71997</v>
      </c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1:36" s="73" customFormat="1" ht="15" x14ac:dyDescent="0.2">
      <c r="A38" s="76" t="s">
        <v>106</v>
      </c>
      <c r="B38" s="75">
        <f>SUM(B2:B37)</f>
        <v>6329025886275.2793</v>
      </c>
      <c r="C38" s="75">
        <f>SUM(C2:C37)</f>
        <v>8168114487006.7217</v>
      </c>
      <c r="D38" s="75">
        <f>SUM(D2:D37)</f>
        <v>10748803140075.266</v>
      </c>
      <c r="E38" s="75">
        <f>SUM(E2:E37)</f>
        <v>17948829835231.832</v>
      </c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</row>
    <row r="39" spans="1:36" ht="15" x14ac:dyDescent="0.2">
      <c r="B39" s="70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1:36" ht="15" x14ac:dyDescent="0.2">
      <c r="A40" s="71"/>
      <c r="B40" s="72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</row>
    <row r="41" spans="1:36" ht="15" x14ac:dyDescent="0.2">
      <c r="A41" s="71"/>
      <c r="B41" s="72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</row>
    <row r="42" spans="1:36" ht="15" x14ac:dyDescent="0.2">
      <c r="B42" s="70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1:36" ht="15" x14ac:dyDescent="0.2">
      <c r="B43" s="70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1:36" ht="15" x14ac:dyDescent="0.2">
      <c r="B44" s="70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1:36" ht="15" x14ac:dyDescent="0.2">
      <c r="B45" s="70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</row>
    <row r="46" spans="1:36" ht="15" x14ac:dyDescent="0.2">
      <c r="B46" s="70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1:36" ht="15" x14ac:dyDescent="0.2">
      <c r="B47" s="70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1:36" ht="15" x14ac:dyDescent="0.2">
      <c r="B48" s="70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2:24" ht="15" x14ac:dyDescent="0.2">
      <c r="B49" s="70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2:24" ht="15" x14ac:dyDescent="0.2">
      <c r="B50" s="70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2:24" ht="15" x14ac:dyDescent="0.2">
      <c r="B51" s="70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2:24" ht="15" x14ac:dyDescent="0.2">
      <c r="B52" s="70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2:24" ht="15" x14ac:dyDescent="0.2">
      <c r="B53" s="70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2:24" ht="15" x14ac:dyDescent="0.2">
      <c r="B54" s="70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2:24" ht="15" x14ac:dyDescent="0.2">
      <c r="B55" s="70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2:24" ht="15" x14ac:dyDescent="0.2">
      <c r="B56" s="70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2:24" ht="15" x14ac:dyDescent="0.2">
      <c r="B57" s="70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2:24" ht="15" x14ac:dyDescent="0.2">
      <c r="B58" s="70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</row>
    <row r="59" spans="2:24" ht="15" x14ac:dyDescent="0.2">
      <c r="B59" s="70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0" spans="2:24" ht="15" x14ac:dyDescent="0.2">
      <c r="B60" s="70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1" spans="2:24" ht="15" x14ac:dyDescent="0.2">
      <c r="B61" s="70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spans="2:24" ht="15" x14ac:dyDescent="0.2">
      <c r="B62" s="70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spans="2:24" ht="15" x14ac:dyDescent="0.2">
      <c r="B63" s="70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</row>
    <row r="64" spans="2:24" ht="15" x14ac:dyDescent="0.2">
      <c r="B64" s="70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</row>
    <row r="65" spans="2:24" ht="15" x14ac:dyDescent="0.2">
      <c r="B65" s="70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</row>
    <row r="66" spans="2:24" ht="15" x14ac:dyDescent="0.2">
      <c r="B66" s="70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</row>
    <row r="67" spans="2:24" ht="15" x14ac:dyDescent="0.2">
      <c r="B67" s="70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</row>
    <row r="68" spans="2:24" ht="15" x14ac:dyDescent="0.2">
      <c r="B68" s="70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</row>
    <row r="69" spans="2:24" ht="15" x14ac:dyDescent="0.2">
      <c r="B69" s="70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</row>
    <row r="70" spans="2:24" ht="15" x14ac:dyDescent="0.2">
      <c r="B70" s="70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</row>
    <row r="71" spans="2:24" ht="15" x14ac:dyDescent="0.2">
      <c r="B71" s="70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</row>
    <row r="72" spans="2:24" ht="15" x14ac:dyDescent="0.2">
      <c r="B72" s="70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</row>
    <row r="73" spans="2:24" ht="15" x14ac:dyDescent="0.2">
      <c r="B73" s="70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</row>
    <row r="74" spans="2:24" ht="15" x14ac:dyDescent="0.2">
      <c r="B74" s="70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</row>
    <row r="75" spans="2:24" ht="15" x14ac:dyDescent="0.2">
      <c r="B75" s="70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</row>
    <row r="76" spans="2:24" ht="15" x14ac:dyDescent="0.2">
      <c r="B76" s="70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spans="2:24" ht="15" x14ac:dyDescent="0.2">
      <c r="B77" s="70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</row>
    <row r="78" spans="2:24" ht="15" x14ac:dyDescent="0.2">
      <c r="B78" s="70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2:24" ht="15" x14ac:dyDescent="0.2">
      <c r="B79" s="70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</row>
    <row r="80" spans="2:24" ht="15" x14ac:dyDescent="0.2">
      <c r="B80" s="70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</row>
    <row r="81" spans="2:24" ht="15" x14ac:dyDescent="0.2">
      <c r="B81" s="70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</row>
    <row r="82" spans="2:24" ht="15" x14ac:dyDescent="0.2">
      <c r="B82" s="70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spans="2:24" ht="15" x14ac:dyDescent="0.2">
      <c r="B83" s="70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</row>
    <row r="84" spans="2:24" ht="15" x14ac:dyDescent="0.2">
      <c r="B84" s="70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spans="2:24" ht="15" x14ac:dyDescent="0.2">
      <c r="B85" s="70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spans="2:24" ht="15" x14ac:dyDescent="0.2">
      <c r="B86" s="70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</row>
    <row r="87" spans="2:24" ht="15" x14ac:dyDescent="0.2">
      <c r="B87" s="70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</row>
    <row r="88" spans="2:24" ht="15" x14ac:dyDescent="0.2">
      <c r="B88" s="70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</row>
    <row r="89" spans="2:24" ht="15" x14ac:dyDescent="0.2">
      <c r="B89" s="70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spans="2:24" ht="15" x14ac:dyDescent="0.2">
      <c r="B90" s="70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spans="2:24" ht="15" x14ac:dyDescent="0.2">
      <c r="B91" s="70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</row>
    <row r="92" spans="2:24" ht="15" x14ac:dyDescent="0.2">
      <c r="B92" s="70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spans="2:24" ht="15" x14ac:dyDescent="0.2">
      <c r="B93" s="70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spans="2:24" ht="15" x14ac:dyDescent="0.2">
      <c r="B94" s="70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spans="2:24" ht="15" x14ac:dyDescent="0.2">
      <c r="B95" s="70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spans="2:24" ht="15" x14ac:dyDescent="0.2">
      <c r="B96" s="70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spans="2:24" ht="15" x14ac:dyDescent="0.2">
      <c r="B97" s="70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spans="2:24" ht="15" x14ac:dyDescent="0.2">
      <c r="B98" s="70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spans="2:24" ht="15" x14ac:dyDescent="0.2">
      <c r="B99" s="70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spans="2:24" ht="15" x14ac:dyDescent="0.2">
      <c r="B100" s="70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spans="2:24" ht="15" x14ac:dyDescent="0.2">
      <c r="B101" s="70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spans="2:24" ht="15" x14ac:dyDescent="0.2">
      <c r="B102" s="70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spans="2:24" ht="15" x14ac:dyDescent="0.2">
      <c r="B103" s="70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spans="2:24" ht="15" x14ac:dyDescent="0.2">
      <c r="B104" s="70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spans="2:24" ht="15" x14ac:dyDescent="0.2">
      <c r="B105" s="70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spans="2:24" ht="15" x14ac:dyDescent="0.2">
      <c r="B106" s="70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2:24" ht="15" x14ac:dyDescent="0.2">
      <c r="B107" s="70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spans="2:24" ht="15" x14ac:dyDescent="0.2">
      <c r="B108" s="70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spans="2:24" ht="15" x14ac:dyDescent="0.2">
      <c r="B109" s="70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spans="2:24" ht="15" x14ac:dyDescent="0.2">
      <c r="B110" s="70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spans="2:24" ht="15" x14ac:dyDescent="0.2">
      <c r="B111" s="70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2:24" ht="15" x14ac:dyDescent="0.2">
      <c r="B112" s="70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spans="2:24" ht="15" x14ac:dyDescent="0.2">
      <c r="B113" s="70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spans="2:24" ht="15" x14ac:dyDescent="0.2">
      <c r="B114" s="70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spans="2:24" ht="15" x14ac:dyDescent="0.2">
      <c r="B115" s="70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spans="2:24" ht="15" x14ac:dyDescent="0.2">
      <c r="B116" s="70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spans="2:24" ht="15" x14ac:dyDescent="0.2">
      <c r="B117" s="70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spans="2:24" ht="15" x14ac:dyDescent="0.2">
      <c r="B118" s="70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spans="2:24" ht="15" x14ac:dyDescent="0.2">
      <c r="B119" s="70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spans="2:24" ht="15" x14ac:dyDescent="0.2">
      <c r="B120" s="70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spans="2:24" ht="15" x14ac:dyDescent="0.2">
      <c r="B121" s="70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spans="2:24" ht="15" x14ac:dyDescent="0.2">
      <c r="B122" s="70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spans="2:24" ht="15" x14ac:dyDescent="0.2">
      <c r="B123" s="70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spans="2:24" ht="15" x14ac:dyDescent="0.2">
      <c r="B124" s="70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spans="2:24" ht="15" x14ac:dyDescent="0.2">
      <c r="B125" s="70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spans="2:24" ht="15" x14ac:dyDescent="0.2">
      <c r="B126" s="70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spans="2:24" ht="15" x14ac:dyDescent="0.2">
      <c r="B127" s="70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spans="2:24" ht="15" x14ac:dyDescent="0.2">
      <c r="B128" s="70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spans="2:24" ht="15" x14ac:dyDescent="0.2">
      <c r="B129" s="70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spans="2:24" ht="15" x14ac:dyDescent="0.2">
      <c r="B130" s="70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2:24" ht="15" x14ac:dyDescent="0.2">
      <c r="B131" s="70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spans="2:24" ht="15" x14ac:dyDescent="0.2">
      <c r="B132" s="70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spans="2:24" ht="15" x14ac:dyDescent="0.2">
      <c r="B133" s="70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spans="2:24" ht="15" x14ac:dyDescent="0.2">
      <c r="B134" s="70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spans="2:24" ht="15" x14ac:dyDescent="0.2">
      <c r="B135" s="70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spans="2:24" ht="15" x14ac:dyDescent="0.2">
      <c r="B136" s="70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spans="2:24" ht="15" x14ac:dyDescent="0.2">
      <c r="B137" s="70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spans="2:24" ht="15" x14ac:dyDescent="0.2">
      <c r="B138" s="70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2:24" ht="15" x14ac:dyDescent="0.2">
      <c r="B139" s="70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spans="2:24" ht="15" x14ac:dyDescent="0.2">
      <c r="B140" s="70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spans="2:24" ht="15" x14ac:dyDescent="0.2">
      <c r="B141" s="70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spans="2:24" ht="15" x14ac:dyDescent="0.2">
      <c r="B142" s="70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spans="2:24" ht="15" x14ac:dyDescent="0.2">
      <c r="B143" s="70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spans="2:24" ht="15" x14ac:dyDescent="0.2">
      <c r="B144" s="70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spans="2:24" ht="15" x14ac:dyDescent="0.2">
      <c r="B145" s="70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spans="2:24" ht="15" x14ac:dyDescent="0.2">
      <c r="B146" s="70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spans="2:24" ht="15" x14ac:dyDescent="0.2">
      <c r="B147" s="70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spans="2:24" ht="15" x14ac:dyDescent="0.2">
      <c r="B148" s="70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spans="2:24" ht="15" x14ac:dyDescent="0.2">
      <c r="B149" s="70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spans="2:24" ht="15" x14ac:dyDescent="0.2">
      <c r="B150" s="70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spans="2:24" ht="15" x14ac:dyDescent="0.2">
      <c r="B151" s="70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spans="2:24" ht="15" x14ac:dyDescent="0.2">
      <c r="B152" s="70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spans="2:24" ht="15" x14ac:dyDescent="0.2">
      <c r="B153" s="70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spans="2:24" ht="15" x14ac:dyDescent="0.2">
      <c r="B154" s="70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spans="2:24" ht="15" x14ac:dyDescent="0.2">
      <c r="B155" s="70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spans="2:24" ht="15" x14ac:dyDescent="0.2">
      <c r="B156" s="70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spans="2:24" ht="15" x14ac:dyDescent="0.2">
      <c r="B157" s="70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spans="2:24" ht="15" x14ac:dyDescent="0.2">
      <c r="B158" s="70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spans="2:24" ht="15" x14ac:dyDescent="0.2">
      <c r="B159" s="70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spans="2:24" ht="15" x14ac:dyDescent="0.2">
      <c r="B160" s="70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2:24" ht="15" x14ac:dyDescent="0.2">
      <c r="B161" s="70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spans="2:24" ht="15" x14ac:dyDescent="0.2">
      <c r="B162" s="70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spans="2:24" ht="15" x14ac:dyDescent="0.2">
      <c r="B163" s="70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spans="2:24" ht="15" x14ac:dyDescent="0.2">
      <c r="B164" s="70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spans="2:24" ht="15" x14ac:dyDescent="0.2">
      <c r="B165" s="70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spans="2:24" ht="15" x14ac:dyDescent="0.2">
      <c r="B166" s="70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spans="2:24" ht="15" x14ac:dyDescent="0.2">
      <c r="B167" s="70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spans="2:24" ht="15" x14ac:dyDescent="0.2">
      <c r="B168" s="70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spans="2:24" ht="15" x14ac:dyDescent="0.2">
      <c r="B169" s="70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spans="2:24" ht="15" x14ac:dyDescent="0.2">
      <c r="B170" s="70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spans="2:24" ht="15" x14ac:dyDescent="0.2">
      <c r="B171" s="70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spans="2:24" ht="15" x14ac:dyDescent="0.2">
      <c r="B172" s="70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spans="2:24" ht="15" x14ac:dyDescent="0.2">
      <c r="B173" s="70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spans="2:24" ht="15" x14ac:dyDescent="0.2">
      <c r="B174" s="70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spans="2:24" ht="15" x14ac:dyDescent="0.2">
      <c r="B175" s="70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spans="2:24" ht="15" x14ac:dyDescent="0.2">
      <c r="B176" s="70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spans="2:24" ht="15" x14ac:dyDescent="0.2">
      <c r="B177" s="70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spans="2:24" ht="15" x14ac:dyDescent="0.2">
      <c r="B178" s="70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spans="2:24" ht="15" x14ac:dyDescent="0.2">
      <c r="B179" s="70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spans="2:24" ht="15" x14ac:dyDescent="0.2">
      <c r="B180" s="70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spans="2:24" ht="15" x14ac:dyDescent="0.2">
      <c r="B181" s="70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spans="2:24" ht="15" x14ac:dyDescent="0.2">
      <c r="B182" s="70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spans="2:24" ht="15" x14ac:dyDescent="0.2">
      <c r="B183" s="70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spans="2:24" ht="15" x14ac:dyDescent="0.2">
      <c r="B184" s="70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spans="2:24" ht="15" x14ac:dyDescent="0.2">
      <c r="B185" s="70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spans="2:24" ht="15" x14ac:dyDescent="0.2">
      <c r="B186" s="70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spans="2:24" ht="15" x14ac:dyDescent="0.2">
      <c r="B187" s="70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2:24" ht="15" x14ac:dyDescent="0.2">
      <c r="B188" s="70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spans="2:24" ht="15" x14ac:dyDescent="0.2">
      <c r="B189" s="70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spans="2:24" ht="15" x14ac:dyDescent="0.2">
      <c r="B190" s="70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spans="2:24" ht="15" x14ac:dyDescent="0.2">
      <c r="B191" s="70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spans="2:24" ht="15" x14ac:dyDescent="0.2">
      <c r="B192" s="70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spans="2:24" ht="15" x14ac:dyDescent="0.2">
      <c r="B193" s="70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spans="2:24" ht="15" x14ac:dyDescent="0.2">
      <c r="B194" s="70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spans="2:24" ht="15" x14ac:dyDescent="0.2">
      <c r="B195" s="70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spans="2:24" ht="15" x14ac:dyDescent="0.2">
      <c r="B196" s="70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spans="2:24" ht="15" x14ac:dyDescent="0.2">
      <c r="B197" s="70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spans="2:24" ht="15" x14ac:dyDescent="0.2">
      <c r="B198" s="70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spans="2:24" ht="15" x14ac:dyDescent="0.2">
      <c r="B199" s="70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spans="2:24" ht="15" x14ac:dyDescent="0.2">
      <c r="B200" s="70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spans="2:24" ht="15" x14ac:dyDescent="0.2">
      <c r="B201" s="70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spans="2:24" ht="15" x14ac:dyDescent="0.2">
      <c r="B202" s="70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spans="2:24" ht="15" x14ac:dyDescent="0.2">
      <c r="B203" s="70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spans="2:24" ht="15" x14ac:dyDescent="0.2">
      <c r="B204" s="70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spans="2:24" ht="15" x14ac:dyDescent="0.2">
      <c r="B205" s="70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spans="2:24" ht="15" x14ac:dyDescent="0.2">
      <c r="B206" s="70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spans="2:24" ht="15" x14ac:dyDescent="0.2">
      <c r="B207" s="70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spans="2:24" ht="15" x14ac:dyDescent="0.2">
      <c r="B208" s="70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spans="2:24" ht="15" x14ac:dyDescent="0.2">
      <c r="B209" s="70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spans="2:24" ht="15" x14ac:dyDescent="0.2">
      <c r="B210" s="70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spans="2:24" ht="15" x14ac:dyDescent="0.2">
      <c r="B211" s="70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spans="2:24" ht="15" x14ac:dyDescent="0.2">
      <c r="B212" s="70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spans="2:24" ht="15" x14ac:dyDescent="0.2">
      <c r="B213" s="70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spans="2:24" ht="15" x14ac:dyDescent="0.2">
      <c r="B214" s="70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spans="2:24" ht="15" x14ac:dyDescent="0.2">
      <c r="B215" s="70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spans="2:24" ht="15" x14ac:dyDescent="0.2">
      <c r="B216" s="70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spans="2:24" ht="15" x14ac:dyDescent="0.2">
      <c r="B217" s="70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spans="2:24" ht="15" x14ac:dyDescent="0.2">
      <c r="B218" s="70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spans="2:24" ht="15" x14ac:dyDescent="0.2">
      <c r="B219" s="70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spans="2:24" ht="15" x14ac:dyDescent="0.2">
      <c r="B220" s="70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spans="2:24" ht="15" x14ac:dyDescent="0.2">
      <c r="B221" s="70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spans="2:24" ht="15" x14ac:dyDescent="0.2">
      <c r="B222" s="70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spans="2:24" ht="15" x14ac:dyDescent="0.2">
      <c r="B223" s="70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spans="2:24" ht="15" x14ac:dyDescent="0.2">
      <c r="B224" s="70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spans="2:24" ht="15" x14ac:dyDescent="0.2">
      <c r="B225" s="70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spans="2:24" ht="15" x14ac:dyDescent="0.2">
      <c r="B226" s="70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spans="2:24" ht="15" x14ac:dyDescent="0.2">
      <c r="B227" s="70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spans="2:24" ht="15" x14ac:dyDescent="0.2">
      <c r="B228" s="70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spans="2:24" ht="15" x14ac:dyDescent="0.2">
      <c r="B229" s="70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spans="2:24" ht="15" x14ac:dyDescent="0.2">
      <c r="B230" s="70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spans="2:24" ht="15" x14ac:dyDescent="0.2">
      <c r="B231" s="70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spans="2:24" ht="15" x14ac:dyDescent="0.2">
      <c r="B232" s="70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spans="2:24" ht="15" x14ac:dyDescent="0.2">
      <c r="B233" s="70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spans="2:24" ht="15" x14ac:dyDescent="0.2">
      <c r="B234" s="70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spans="2:24" ht="15" x14ac:dyDescent="0.2">
      <c r="B235" s="70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spans="2:24" ht="15" x14ac:dyDescent="0.2">
      <c r="B236" s="70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spans="2:24" ht="15" x14ac:dyDescent="0.2">
      <c r="B237" s="70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spans="2:24" ht="15" x14ac:dyDescent="0.2">
      <c r="B238" s="70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spans="2:24" ht="15" x14ac:dyDescent="0.2">
      <c r="B239" s="70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spans="2:24" ht="15" x14ac:dyDescent="0.2">
      <c r="B240" s="70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spans="2:24" ht="15" x14ac:dyDescent="0.2">
      <c r="B241" s="70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spans="2:24" ht="15" x14ac:dyDescent="0.2">
      <c r="B242" s="70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spans="2:24" ht="15" x14ac:dyDescent="0.2">
      <c r="B243" s="70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spans="2:24" ht="15" x14ac:dyDescent="0.2">
      <c r="B244" s="70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spans="2:24" ht="15" x14ac:dyDescent="0.2">
      <c r="B245" s="70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spans="2:24" ht="15" x14ac:dyDescent="0.2">
      <c r="B246" s="70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spans="2:24" ht="15" x14ac:dyDescent="0.2">
      <c r="B247" s="70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spans="2:24" ht="15" x14ac:dyDescent="0.2">
      <c r="B248" s="70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spans="2:24" ht="15" x14ac:dyDescent="0.2">
      <c r="B249" s="70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spans="2:24" ht="15" x14ac:dyDescent="0.2">
      <c r="B250" s="70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spans="2:24" ht="15" x14ac:dyDescent="0.2">
      <c r="B251" s="70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spans="2:24" ht="15" x14ac:dyDescent="0.2">
      <c r="B252" s="70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spans="2:24" ht="15" x14ac:dyDescent="0.2">
      <c r="B253" s="70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spans="2:24" ht="15" x14ac:dyDescent="0.2">
      <c r="B254" s="70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spans="2:24" ht="15" x14ac:dyDescent="0.2">
      <c r="B255" s="70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spans="2:24" ht="15" x14ac:dyDescent="0.2">
      <c r="B256" s="70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spans="2:24" ht="15" x14ac:dyDescent="0.2">
      <c r="B257" s="70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spans="2:24" ht="15" x14ac:dyDescent="0.2">
      <c r="B258" s="70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spans="2:24" ht="15" x14ac:dyDescent="0.2">
      <c r="B259" s="70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spans="2:24" ht="15" x14ac:dyDescent="0.2">
      <c r="B260" s="70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spans="2:24" ht="15" x14ac:dyDescent="0.2">
      <c r="B261" s="70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spans="2:24" ht="15" x14ac:dyDescent="0.2">
      <c r="B262" s="70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spans="2:24" ht="15" x14ac:dyDescent="0.2">
      <c r="B263" s="70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spans="2:24" ht="15" x14ac:dyDescent="0.2">
      <c r="B264" s="70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spans="2:24" ht="15" x14ac:dyDescent="0.2">
      <c r="B265" s="70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spans="2:24" ht="15" x14ac:dyDescent="0.2">
      <c r="B266" s="70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spans="2:24" ht="15" x14ac:dyDescent="0.2">
      <c r="B267" s="70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spans="2:24" ht="15" x14ac:dyDescent="0.2">
      <c r="B268" s="70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spans="2:24" ht="15" x14ac:dyDescent="0.2">
      <c r="B269" s="70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spans="2:24" ht="15" x14ac:dyDescent="0.2">
      <c r="B270" s="70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spans="2:24" ht="15" x14ac:dyDescent="0.2">
      <c r="B271" s="70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spans="2:24" ht="15" x14ac:dyDescent="0.2">
      <c r="B272" s="70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spans="2:24" ht="15" x14ac:dyDescent="0.2">
      <c r="B273" s="70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spans="2:24" ht="15" x14ac:dyDescent="0.2">
      <c r="B274" s="70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spans="2:24" ht="15" x14ac:dyDescent="0.2">
      <c r="B275" s="70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spans="2:24" ht="15" x14ac:dyDescent="0.2">
      <c r="B276" s="70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spans="2:24" ht="15" x14ac:dyDescent="0.2">
      <c r="B277" s="70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spans="2:24" ht="15" x14ac:dyDescent="0.2">
      <c r="B278" s="70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spans="2:24" ht="15" x14ac:dyDescent="0.2">
      <c r="B279" s="70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spans="2:24" ht="15" x14ac:dyDescent="0.2">
      <c r="B280" s="70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spans="2:24" ht="15" x14ac:dyDescent="0.2">
      <c r="B281" s="70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spans="2:24" ht="15" x14ac:dyDescent="0.2">
      <c r="B282" s="70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spans="2:24" ht="15" x14ac:dyDescent="0.2">
      <c r="B283" s="70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spans="2:24" ht="15" x14ac:dyDescent="0.2">
      <c r="B284" s="70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spans="2:24" ht="15" x14ac:dyDescent="0.2">
      <c r="B285" s="70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spans="2:24" ht="15" x14ac:dyDescent="0.2">
      <c r="B286" s="70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spans="2:24" ht="15" x14ac:dyDescent="0.2">
      <c r="B287" s="70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spans="2:24" ht="15" x14ac:dyDescent="0.2">
      <c r="B288" s="70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spans="2:24" ht="15" x14ac:dyDescent="0.2">
      <c r="B289" s="70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spans="2:24" ht="15" x14ac:dyDescent="0.2">
      <c r="B290" s="70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spans="2:24" ht="15" x14ac:dyDescent="0.2">
      <c r="B291" s="70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spans="2:24" ht="15" x14ac:dyDescent="0.2">
      <c r="B292" s="70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spans="2:24" ht="15" x14ac:dyDescent="0.2">
      <c r="B293" s="70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spans="2:24" ht="15" x14ac:dyDescent="0.2">
      <c r="B294" s="70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spans="2:24" ht="15" x14ac:dyDescent="0.2">
      <c r="B295" s="70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spans="2:24" ht="15" x14ac:dyDescent="0.2">
      <c r="B296" s="70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spans="2:24" ht="15" x14ac:dyDescent="0.2">
      <c r="B297" s="70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spans="2:24" ht="15" x14ac:dyDescent="0.2">
      <c r="B298" s="70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spans="2:24" ht="15" x14ac:dyDescent="0.2">
      <c r="B299" s="70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spans="2:24" ht="15" x14ac:dyDescent="0.2">
      <c r="B300" s="70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spans="2:24" ht="15" x14ac:dyDescent="0.2">
      <c r="B301" s="70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spans="2:24" ht="15" x14ac:dyDescent="0.2">
      <c r="B302" s="70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spans="2:24" ht="15" x14ac:dyDescent="0.2">
      <c r="B303" s="70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spans="2:24" ht="15" x14ac:dyDescent="0.2">
      <c r="B304" s="70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spans="2:24" ht="15" x14ac:dyDescent="0.2">
      <c r="B305" s="70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spans="2:24" ht="15" x14ac:dyDescent="0.2">
      <c r="B306" s="70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spans="2:24" ht="15" x14ac:dyDescent="0.2">
      <c r="B307" s="70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spans="2:24" ht="15" x14ac:dyDescent="0.2">
      <c r="B308" s="70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spans="2:24" ht="15" x14ac:dyDescent="0.2">
      <c r="B309" s="70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spans="2:24" ht="15" x14ac:dyDescent="0.2">
      <c r="B310" s="70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spans="2:24" ht="15" x14ac:dyDescent="0.2">
      <c r="B311" s="70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spans="2:24" ht="15" x14ac:dyDescent="0.2">
      <c r="B312" s="70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spans="2:24" ht="15" x14ac:dyDescent="0.2">
      <c r="B313" s="70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spans="2:24" ht="15" x14ac:dyDescent="0.2">
      <c r="B314" s="70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spans="2:24" ht="15" x14ac:dyDescent="0.2">
      <c r="B315" s="70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spans="2:24" ht="15" x14ac:dyDescent="0.2">
      <c r="B316" s="70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spans="2:24" ht="15" x14ac:dyDescent="0.2">
      <c r="B317" s="70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spans="2:24" ht="15" x14ac:dyDescent="0.2">
      <c r="B318" s="70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spans="2:24" ht="15" x14ac:dyDescent="0.2">
      <c r="B319" s="70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spans="2:24" ht="15" x14ac:dyDescent="0.2">
      <c r="B320" s="70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spans="2:24" ht="15" x14ac:dyDescent="0.2">
      <c r="B321" s="70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spans="2:24" ht="15" x14ac:dyDescent="0.2">
      <c r="B322" s="70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spans="2:24" ht="15" x14ac:dyDescent="0.2">
      <c r="B323" s="70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spans="2:24" ht="15" x14ac:dyDescent="0.2">
      <c r="B324" s="70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spans="2:24" ht="15" x14ac:dyDescent="0.2">
      <c r="B325" s="70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spans="2:24" ht="15" x14ac:dyDescent="0.2">
      <c r="B326" s="70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spans="2:24" ht="15" x14ac:dyDescent="0.2">
      <c r="B327" s="70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spans="2:24" ht="15" x14ac:dyDescent="0.2">
      <c r="B328" s="70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spans="2:24" ht="15" x14ac:dyDescent="0.2">
      <c r="B329" s="70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spans="2:24" ht="15" x14ac:dyDescent="0.2">
      <c r="B330" s="70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spans="2:24" ht="15" x14ac:dyDescent="0.2">
      <c r="B331" s="70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spans="2:24" ht="15" x14ac:dyDescent="0.2">
      <c r="B332" s="70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spans="2:24" ht="15" x14ac:dyDescent="0.2">
      <c r="B333" s="70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spans="2:24" ht="15" x14ac:dyDescent="0.2">
      <c r="B334" s="70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spans="2:24" ht="15" x14ac:dyDescent="0.2">
      <c r="B335" s="70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spans="2:24" ht="15" x14ac:dyDescent="0.2">
      <c r="B336" s="70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spans="2:24" ht="15" x14ac:dyDescent="0.2">
      <c r="B337" s="70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spans="2:24" ht="15" x14ac:dyDescent="0.2">
      <c r="B338" s="70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spans="2:24" ht="15" x14ac:dyDescent="0.2">
      <c r="B339" s="70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spans="2:24" ht="15" x14ac:dyDescent="0.2">
      <c r="B340" s="70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spans="2:24" ht="15" x14ac:dyDescent="0.2">
      <c r="B341" s="70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spans="2:24" ht="15" x14ac:dyDescent="0.2">
      <c r="B342" s="70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spans="2:24" ht="15" x14ac:dyDescent="0.2">
      <c r="B343" s="70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spans="2:24" ht="15" x14ac:dyDescent="0.2">
      <c r="B344" s="70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spans="2:24" ht="15" x14ac:dyDescent="0.2">
      <c r="B345" s="70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spans="2:24" ht="15" x14ac:dyDescent="0.2">
      <c r="B346" s="70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spans="2:24" ht="15" x14ac:dyDescent="0.2">
      <c r="B347" s="70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spans="2:24" ht="15" x14ac:dyDescent="0.2">
      <c r="B348" s="70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spans="2:24" ht="15" x14ac:dyDescent="0.2">
      <c r="B349" s="70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spans="2:24" ht="15" x14ac:dyDescent="0.2">
      <c r="B350" s="70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spans="2:24" ht="15" x14ac:dyDescent="0.2">
      <c r="B351" s="70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spans="2:24" ht="15" x14ac:dyDescent="0.2">
      <c r="B352" s="70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spans="2:24" ht="15" x14ac:dyDescent="0.2">
      <c r="B353" s="70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spans="2:24" ht="15" x14ac:dyDescent="0.2">
      <c r="B354" s="70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spans="2:24" ht="15" x14ac:dyDescent="0.2">
      <c r="B355" s="70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spans="2:24" ht="15" x14ac:dyDescent="0.2">
      <c r="B356" s="70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spans="2:24" ht="15" x14ac:dyDescent="0.2">
      <c r="B357" s="70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spans="2:24" ht="15" x14ac:dyDescent="0.2">
      <c r="B358" s="70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spans="2:24" ht="15" x14ac:dyDescent="0.2">
      <c r="B359" s="70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spans="2:24" ht="15" x14ac:dyDescent="0.2">
      <c r="B360" s="70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spans="2:24" ht="15" x14ac:dyDescent="0.2">
      <c r="B361" s="70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spans="2:24" ht="15" x14ac:dyDescent="0.2">
      <c r="B362" s="70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spans="2:24" ht="15" x14ac:dyDescent="0.2">
      <c r="B363" s="70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spans="2:24" ht="15" x14ac:dyDescent="0.2">
      <c r="B364" s="70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spans="2:24" ht="15" x14ac:dyDescent="0.2">
      <c r="B365" s="70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spans="2:24" ht="15" x14ac:dyDescent="0.2">
      <c r="B366" s="70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spans="2:24" ht="15" x14ac:dyDescent="0.2">
      <c r="B367" s="70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spans="2:24" ht="15" x14ac:dyDescent="0.2">
      <c r="B368" s="70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spans="2:24" ht="15" x14ac:dyDescent="0.2">
      <c r="B369" s="70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spans="2:24" ht="15" x14ac:dyDescent="0.2">
      <c r="B370" s="70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spans="2:24" ht="15" x14ac:dyDescent="0.2">
      <c r="B371" s="70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spans="2:24" ht="15" x14ac:dyDescent="0.2">
      <c r="B372" s="70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spans="2:24" ht="15" x14ac:dyDescent="0.2">
      <c r="B373" s="70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spans="2:24" ht="15" x14ac:dyDescent="0.2">
      <c r="B374" s="70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spans="2:24" ht="15" x14ac:dyDescent="0.2">
      <c r="B375" s="70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spans="2:24" ht="15" x14ac:dyDescent="0.2">
      <c r="B376" s="70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spans="2:24" ht="15" x14ac:dyDescent="0.2">
      <c r="B377" s="70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spans="2:24" ht="15" x14ac:dyDescent="0.2">
      <c r="B378" s="70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spans="2:24" ht="15" x14ac:dyDescent="0.2">
      <c r="B379" s="70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spans="2:24" ht="15" x14ac:dyDescent="0.2">
      <c r="B380" s="70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spans="2:24" ht="15" x14ac:dyDescent="0.2">
      <c r="B381" s="70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spans="2:24" ht="15" x14ac:dyDescent="0.2">
      <c r="B382" s="70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spans="2:24" ht="15" x14ac:dyDescent="0.2">
      <c r="B383" s="70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spans="2:24" ht="15" x14ac:dyDescent="0.2">
      <c r="B384" s="70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spans="2:24" ht="15" x14ac:dyDescent="0.2">
      <c r="B385" s="70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spans="2:24" ht="15" x14ac:dyDescent="0.2">
      <c r="B386" s="70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spans="2:24" ht="15" x14ac:dyDescent="0.2">
      <c r="B387" s="70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spans="2:24" ht="15" x14ac:dyDescent="0.2">
      <c r="B388" s="70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spans="2:24" ht="15" x14ac:dyDescent="0.2">
      <c r="B389" s="70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spans="2:24" ht="15" x14ac:dyDescent="0.2">
      <c r="B390" s="70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spans="2:24" ht="15" x14ac:dyDescent="0.2">
      <c r="B391" s="70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spans="2:24" ht="15" x14ac:dyDescent="0.2">
      <c r="B392" s="70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spans="2:24" ht="15" x14ac:dyDescent="0.2">
      <c r="B393" s="70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spans="2:24" ht="15" x14ac:dyDescent="0.2">
      <c r="B394" s="70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spans="2:24" ht="15" x14ac:dyDescent="0.2">
      <c r="B395" s="70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spans="2:24" ht="15" x14ac:dyDescent="0.2">
      <c r="B396" s="70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spans="2:24" ht="15" x14ac:dyDescent="0.2">
      <c r="B397" s="70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spans="2:24" ht="15" x14ac:dyDescent="0.2">
      <c r="B398" s="70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spans="2:24" ht="15" x14ac:dyDescent="0.2">
      <c r="B399" s="70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spans="2:24" ht="15" x14ac:dyDescent="0.2">
      <c r="B400" s="70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spans="2:24" ht="15" x14ac:dyDescent="0.2">
      <c r="B401" s="70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spans="2:24" ht="15" x14ac:dyDescent="0.2">
      <c r="B402" s="70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spans="2:24" ht="15" x14ac:dyDescent="0.2">
      <c r="B403" s="70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spans="2:24" ht="15" x14ac:dyDescent="0.2">
      <c r="B404" s="70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spans="2:24" ht="15" x14ac:dyDescent="0.2">
      <c r="B405" s="70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spans="2:24" ht="15" x14ac:dyDescent="0.2">
      <c r="B406" s="70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spans="2:24" ht="15" x14ac:dyDescent="0.2">
      <c r="B407" s="70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spans="2:24" ht="15" x14ac:dyDescent="0.2">
      <c r="B408" s="70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spans="2:24" ht="15" x14ac:dyDescent="0.2">
      <c r="B409" s="70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spans="2:24" ht="15" x14ac:dyDescent="0.2">
      <c r="B410" s="70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spans="2:24" ht="15" x14ac:dyDescent="0.2">
      <c r="B411" s="70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spans="2:24" ht="15" x14ac:dyDescent="0.2">
      <c r="B412" s="70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spans="2:24" ht="15" x14ac:dyDescent="0.2">
      <c r="B413" s="70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spans="2:24" ht="15" x14ac:dyDescent="0.2">
      <c r="B414" s="70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spans="2:24" ht="15" x14ac:dyDescent="0.2">
      <c r="B415" s="70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spans="2:24" ht="15" x14ac:dyDescent="0.2">
      <c r="B416" s="70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spans="2:24" ht="15" x14ac:dyDescent="0.2">
      <c r="B417" s="70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spans="2:24" ht="15" x14ac:dyDescent="0.2">
      <c r="B418" s="70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spans="2:24" ht="15" x14ac:dyDescent="0.2">
      <c r="B419" s="70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spans="2:24" ht="15" x14ac:dyDescent="0.2">
      <c r="B420" s="70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spans="2:24" ht="15" x14ac:dyDescent="0.2">
      <c r="B421" s="70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spans="2:24" ht="15" x14ac:dyDescent="0.2">
      <c r="B422" s="70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spans="2:24" ht="15" x14ac:dyDescent="0.2">
      <c r="B423" s="70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spans="2:24" ht="15" x14ac:dyDescent="0.2">
      <c r="B424" s="70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spans="2:24" ht="15" x14ac:dyDescent="0.2">
      <c r="B425" s="70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spans="2:24" ht="15" x14ac:dyDescent="0.2">
      <c r="B426" s="70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spans="2:24" ht="15" x14ac:dyDescent="0.2">
      <c r="B427" s="70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spans="2:24" ht="15" x14ac:dyDescent="0.2">
      <c r="B428" s="70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spans="2:24" ht="15" x14ac:dyDescent="0.2">
      <c r="B429" s="70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spans="2:24" ht="15" x14ac:dyDescent="0.2">
      <c r="B430" s="70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spans="2:24" ht="15" x14ac:dyDescent="0.2">
      <c r="B431" s="70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spans="2:24" ht="15" x14ac:dyDescent="0.2">
      <c r="B432" s="70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spans="2:24" ht="15" x14ac:dyDescent="0.2">
      <c r="B433" s="70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spans="2:24" ht="15" x14ac:dyDescent="0.2">
      <c r="B434" s="70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spans="2:24" ht="15" x14ac:dyDescent="0.2">
      <c r="B435" s="70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spans="2:24" ht="15" x14ac:dyDescent="0.2">
      <c r="B436" s="70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spans="2:24" ht="15" x14ac:dyDescent="0.2">
      <c r="B437" s="70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spans="2:24" ht="15" x14ac:dyDescent="0.2">
      <c r="B438" s="70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spans="2:24" ht="15" x14ac:dyDescent="0.2">
      <c r="B439" s="70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spans="2:24" ht="15" x14ac:dyDescent="0.2">
      <c r="B440" s="70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spans="2:24" ht="15" x14ac:dyDescent="0.2">
      <c r="B441" s="70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spans="2:24" ht="15" x14ac:dyDescent="0.2">
      <c r="B442" s="70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spans="2:24" ht="15" x14ac:dyDescent="0.2">
      <c r="B443" s="70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spans="2:24" ht="15" x14ac:dyDescent="0.2">
      <c r="B444" s="70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spans="2:24" ht="15" x14ac:dyDescent="0.2">
      <c r="B445" s="70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spans="2:24" ht="15" x14ac:dyDescent="0.2">
      <c r="B446" s="70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spans="2:24" ht="15" x14ac:dyDescent="0.2">
      <c r="B447" s="70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spans="2:24" ht="15" x14ac:dyDescent="0.2">
      <c r="B448" s="70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spans="2:24" ht="15" x14ac:dyDescent="0.2">
      <c r="B449" s="70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spans="2:24" ht="15" x14ac:dyDescent="0.2">
      <c r="B450" s="70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spans="2:24" ht="15" x14ac:dyDescent="0.2">
      <c r="B451" s="70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spans="2:24" ht="15" x14ac:dyDescent="0.2">
      <c r="B452" s="70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spans="2:24" ht="15" x14ac:dyDescent="0.2">
      <c r="B453" s="70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spans="2:24" ht="15" x14ac:dyDescent="0.2">
      <c r="B454" s="70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spans="2:24" ht="15" x14ac:dyDescent="0.2">
      <c r="B455" s="70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spans="2:24" ht="15" x14ac:dyDescent="0.2">
      <c r="B456" s="70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spans="2:24" ht="15" x14ac:dyDescent="0.2">
      <c r="B457" s="70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spans="2:24" ht="15" x14ac:dyDescent="0.2">
      <c r="B458" s="70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spans="2:24" ht="15" x14ac:dyDescent="0.2">
      <c r="B459" s="70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spans="2:24" ht="15" x14ac:dyDescent="0.2">
      <c r="B460" s="70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spans="2:24" ht="15" x14ac:dyDescent="0.2">
      <c r="B461" s="70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spans="2:24" ht="15" x14ac:dyDescent="0.2">
      <c r="B462" s="70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spans="2:24" ht="15" x14ac:dyDescent="0.2">
      <c r="B463" s="70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spans="2:24" ht="15" x14ac:dyDescent="0.2">
      <c r="B464" s="70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spans="2:24" ht="15" x14ac:dyDescent="0.2">
      <c r="B465" s="70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spans="2:24" ht="15" x14ac:dyDescent="0.2">
      <c r="B466" s="70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spans="2:24" ht="15" x14ac:dyDescent="0.2">
      <c r="B467" s="70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spans="2:24" ht="15" x14ac:dyDescent="0.2">
      <c r="B468" s="70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spans="2:24" ht="15" x14ac:dyDescent="0.2">
      <c r="B469" s="70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spans="2:24" ht="15" x14ac:dyDescent="0.2">
      <c r="B470" s="70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spans="2:24" ht="15" x14ac:dyDescent="0.2">
      <c r="B471" s="70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spans="2:24" ht="15" x14ac:dyDescent="0.2">
      <c r="B472" s="70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spans="2:24" ht="15" x14ac:dyDescent="0.2">
      <c r="B473" s="70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spans="2:24" ht="15" x14ac:dyDescent="0.2">
      <c r="B474" s="70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spans="2:24" ht="15" x14ac:dyDescent="0.2">
      <c r="B475" s="70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spans="2:24" ht="15" x14ac:dyDescent="0.2">
      <c r="B476" s="70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spans="2:24" ht="15" x14ac:dyDescent="0.2">
      <c r="B477" s="70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spans="2:24" ht="15" x14ac:dyDescent="0.2">
      <c r="B478" s="70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spans="2:24" ht="15" x14ac:dyDescent="0.2">
      <c r="B479" s="70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spans="2:24" ht="15" x14ac:dyDescent="0.2">
      <c r="B480" s="70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spans="2:24" ht="15" x14ac:dyDescent="0.2">
      <c r="B481" s="70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spans="2:24" ht="15" x14ac:dyDescent="0.2">
      <c r="B482" s="70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spans="2:24" ht="15" x14ac:dyDescent="0.2">
      <c r="B483" s="70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spans="2:24" ht="15" x14ac:dyDescent="0.2">
      <c r="B484" s="70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spans="2:24" ht="15" x14ac:dyDescent="0.2">
      <c r="B485" s="70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spans="2:24" ht="15" x14ac:dyDescent="0.2">
      <c r="B486" s="70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spans="2:24" ht="15" x14ac:dyDescent="0.2">
      <c r="B487" s="70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spans="2:24" ht="15" x14ac:dyDescent="0.2">
      <c r="B488" s="70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spans="2:24" ht="15" x14ac:dyDescent="0.2">
      <c r="B489" s="70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spans="2:24" ht="15" x14ac:dyDescent="0.2">
      <c r="B490" s="70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spans="2:24" ht="15" x14ac:dyDescent="0.2">
      <c r="B491" s="70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spans="2:24" ht="15" x14ac:dyDescent="0.2">
      <c r="B492" s="70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spans="2:24" ht="15" x14ac:dyDescent="0.2">
      <c r="B493" s="70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spans="2:24" ht="15" x14ac:dyDescent="0.2">
      <c r="B494" s="70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spans="2:24" ht="15" x14ac:dyDescent="0.2">
      <c r="B495" s="70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spans="2:24" ht="15" x14ac:dyDescent="0.2">
      <c r="B496" s="70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spans="2:24" ht="15" x14ac:dyDescent="0.2">
      <c r="B497" s="70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spans="2:24" ht="15" x14ac:dyDescent="0.2">
      <c r="B498" s="70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spans="2:24" ht="15" x14ac:dyDescent="0.2">
      <c r="B499" s="70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spans="2:24" ht="15" x14ac:dyDescent="0.2">
      <c r="B500" s="70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spans="2:24" ht="15" x14ac:dyDescent="0.2">
      <c r="B501" s="70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spans="2:24" ht="15" x14ac:dyDescent="0.2">
      <c r="B502" s="70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spans="2:24" ht="15" x14ac:dyDescent="0.2">
      <c r="B503" s="70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spans="2:24" ht="15" x14ac:dyDescent="0.2">
      <c r="B504" s="70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spans="2:24" ht="15" x14ac:dyDescent="0.2">
      <c r="B505" s="70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spans="2:24" ht="15" x14ac:dyDescent="0.2">
      <c r="B506" s="70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spans="2:24" ht="15" x14ac:dyDescent="0.2">
      <c r="B507" s="70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spans="2:24" ht="15" x14ac:dyDescent="0.2">
      <c r="B508" s="70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spans="2:24" ht="15" x14ac:dyDescent="0.2">
      <c r="B509" s="70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spans="2:24" ht="15" x14ac:dyDescent="0.2">
      <c r="B510" s="70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spans="2:24" ht="15" x14ac:dyDescent="0.2">
      <c r="B511" s="70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spans="2:24" ht="15" x14ac:dyDescent="0.2">
      <c r="B512" s="70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spans="2:24" ht="15" x14ac:dyDescent="0.2">
      <c r="B513" s="70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spans="2:24" ht="15" x14ac:dyDescent="0.2">
      <c r="B514" s="70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spans="2:24" ht="15" x14ac:dyDescent="0.2">
      <c r="B515" s="70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spans="2:24" ht="15" x14ac:dyDescent="0.2">
      <c r="B516" s="70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spans="2:24" ht="15" x14ac:dyDescent="0.2">
      <c r="B517" s="70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spans="2:24" ht="15" x14ac:dyDescent="0.2">
      <c r="B518" s="70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spans="2:24" ht="15" x14ac:dyDescent="0.2">
      <c r="B519" s="70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spans="2:24" ht="15" x14ac:dyDescent="0.2">
      <c r="B520" s="70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spans="2:24" ht="15" x14ac:dyDescent="0.2">
      <c r="B521" s="70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spans="2:24" ht="15" x14ac:dyDescent="0.2">
      <c r="B522" s="70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spans="2:24" ht="15" x14ac:dyDescent="0.2">
      <c r="B523" s="70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spans="2:24" ht="15" x14ac:dyDescent="0.2">
      <c r="B524" s="70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spans="2:24" ht="15" x14ac:dyDescent="0.2">
      <c r="B525" s="70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spans="2:24" ht="15" x14ac:dyDescent="0.2">
      <c r="B526" s="70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spans="2:24" ht="15" x14ac:dyDescent="0.2">
      <c r="B527" s="70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spans="2:24" ht="15" x14ac:dyDescent="0.2">
      <c r="B528" s="70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spans="2:24" ht="15" x14ac:dyDescent="0.2">
      <c r="B529" s="70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spans="2:24" ht="15" x14ac:dyDescent="0.2">
      <c r="B530" s="70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spans="2:24" ht="15" x14ac:dyDescent="0.2">
      <c r="B531" s="70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spans="2:24" ht="15" x14ac:dyDescent="0.2">
      <c r="B532" s="70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spans="2:24" ht="15" x14ac:dyDescent="0.2">
      <c r="B533" s="70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spans="2:24" ht="15" x14ac:dyDescent="0.2">
      <c r="B534" s="70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spans="2:24" ht="15" x14ac:dyDescent="0.2">
      <c r="B535" s="70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spans="2:24" ht="15" x14ac:dyDescent="0.2">
      <c r="B536" s="70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spans="2:24" ht="15" x14ac:dyDescent="0.2">
      <c r="B537" s="70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spans="2:24" ht="15" x14ac:dyDescent="0.2">
      <c r="B538" s="70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spans="2:24" ht="15" x14ac:dyDescent="0.2">
      <c r="B539" s="70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spans="2:24" ht="15" x14ac:dyDescent="0.2">
      <c r="B540" s="70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spans="2:24" ht="15" x14ac:dyDescent="0.2">
      <c r="B541" s="70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spans="2:24" ht="15" x14ac:dyDescent="0.2">
      <c r="B542" s="70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spans="2:24" ht="15" x14ac:dyDescent="0.2">
      <c r="B543" s="70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spans="2:24" ht="15" x14ac:dyDescent="0.2">
      <c r="B544" s="70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spans="2:24" ht="15" x14ac:dyDescent="0.2">
      <c r="B545" s="70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spans="2:24" ht="15" x14ac:dyDescent="0.2">
      <c r="B546" s="70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spans="2:24" ht="15" x14ac:dyDescent="0.2">
      <c r="B547" s="70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spans="2:24" ht="15" x14ac:dyDescent="0.2">
      <c r="B548" s="70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spans="2:24" ht="15" x14ac:dyDescent="0.2">
      <c r="B549" s="70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spans="2:24" ht="15" x14ac:dyDescent="0.2">
      <c r="B550" s="70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spans="2:24" ht="15" x14ac:dyDescent="0.2">
      <c r="B551" s="70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spans="2:24" ht="15" x14ac:dyDescent="0.2">
      <c r="B552" s="70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spans="2:24" ht="15" x14ac:dyDescent="0.2">
      <c r="B553" s="70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spans="2:24" ht="15" x14ac:dyDescent="0.2">
      <c r="B554" s="70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spans="2:24" ht="15" x14ac:dyDescent="0.2">
      <c r="B555" s="70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spans="2:24" ht="15" x14ac:dyDescent="0.2">
      <c r="B556" s="70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spans="2:24" ht="15" x14ac:dyDescent="0.2">
      <c r="B557" s="70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spans="2:24" ht="15" x14ac:dyDescent="0.2">
      <c r="B558" s="70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spans="2:24" ht="15" x14ac:dyDescent="0.2">
      <c r="B559" s="70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spans="2:24" ht="15" x14ac:dyDescent="0.2">
      <c r="B560" s="70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spans="2:24" ht="15" x14ac:dyDescent="0.2">
      <c r="B561" s="70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spans="2:24" ht="15" x14ac:dyDescent="0.2">
      <c r="B562" s="70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spans="2:24" ht="15" x14ac:dyDescent="0.2">
      <c r="B563" s="70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spans="2:24" ht="15" x14ac:dyDescent="0.2">
      <c r="B564" s="70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spans="2:24" ht="15" x14ac:dyDescent="0.2">
      <c r="B565" s="70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spans="2:24" ht="15" x14ac:dyDescent="0.2">
      <c r="B566" s="70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spans="2:24" ht="15" x14ac:dyDescent="0.2">
      <c r="B567" s="70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spans="2:24" ht="15" x14ac:dyDescent="0.2">
      <c r="B568" s="70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spans="2:24" ht="15" x14ac:dyDescent="0.2">
      <c r="B569" s="70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spans="2:24" ht="15" x14ac:dyDescent="0.2">
      <c r="B570" s="70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spans="2:24" ht="15" x14ac:dyDescent="0.2">
      <c r="B571" s="70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spans="2:24" ht="15" x14ac:dyDescent="0.2">
      <c r="B572" s="70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spans="2:24" ht="15" x14ac:dyDescent="0.2">
      <c r="B573" s="70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spans="2:24" ht="15" x14ac:dyDescent="0.2">
      <c r="B574" s="70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spans="2:24" ht="15" x14ac:dyDescent="0.2">
      <c r="B575" s="70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spans="2:24" ht="15" x14ac:dyDescent="0.2">
      <c r="B576" s="70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spans="2:24" ht="15" x14ac:dyDescent="0.2">
      <c r="B577" s="70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spans="2:24" ht="15" x14ac:dyDescent="0.2">
      <c r="B578" s="70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spans="2:24" ht="15" x14ac:dyDescent="0.2">
      <c r="B579" s="70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spans="2:24" ht="15" x14ac:dyDescent="0.2">
      <c r="B580" s="70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spans="2:24" ht="15" x14ac:dyDescent="0.2">
      <c r="B581" s="70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spans="2:24" ht="15" x14ac:dyDescent="0.2">
      <c r="B582" s="70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spans="2:24" ht="15" x14ac:dyDescent="0.2">
      <c r="B583" s="70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spans="2:24" ht="15" x14ac:dyDescent="0.2">
      <c r="B584" s="70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spans="2:24" ht="15" x14ac:dyDescent="0.2">
      <c r="B585" s="70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spans="2:24" ht="15" x14ac:dyDescent="0.2">
      <c r="B586" s="70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spans="2:24" ht="15" x14ac:dyDescent="0.2">
      <c r="B587" s="70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spans="2:24" ht="15" x14ac:dyDescent="0.2">
      <c r="B588" s="70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spans="2:24" ht="15" x14ac:dyDescent="0.2">
      <c r="B589" s="70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spans="2:24" ht="15" x14ac:dyDescent="0.2">
      <c r="B590" s="70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spans="2:24" ht="15" x14ac:dyDescent="0.2">
      <c r="B591" s="70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spans="2:24" ht="15" x14ac:dyDescent="0.2">
      <c r="B592" s="70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spans="2:24" ht="15" x14ac:dyDescent="0.2">
      <c r="B593" s="70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spans="2:24" ht="15" x14ac:dyDescent="0.2">
      <c r="B594" s="70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spans="2:24" ht="15" x14ac:dyDescent="0.2">
      <c r="B595" s="70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spans="2:24" ht="15" x14ac:dyDescent="0.2">
      <c r="B596" s="70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spans="2:24" ht="15" x14ac:dyDescent="0.2">
      <c r="B597" s="70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spans="2:24" ht="15" x14ac:dyDescent="0.2">
      <c r="B598" s="70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spans="2:24" ht="15" x14ac:dyDescent="0.2">
      <c r="B599" s="70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spans="2:24" ht="15" x14ac:dyDescent="0.2">
      <c r="B600" s="70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spans="2:24" ht="15" x14ac:dyDescent="0.2">
      <c r="B601" s="70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spans="2:24" ht="15" x14ac:dyDescent="0.2">
      <c r="B602" s="70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spans="2:24" ht="15" x14ac:dyDescent="0.2">
      <c r="B603" s="70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spans="2:24" ht="15" x14ac:dyDescent="0.2">
      <c r="B604" s="70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spans="2:24" ht="15" x14ac:dyDescent="0.2">
      <c r="B605" s="70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spans="2:24" ht="15" x14ac:dyDescent="0.2">
      <c r="B606" s="70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spans="2:24" ht="15" x14ac:dyDescent="0.2">
      <c r="B607" s="70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spans="2:24" ht="15" x14ac:dyDescent="0.2">
      <c r="B608" s="70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spans="2:24" ht="15" x14ac:dyDescent="0.2">
      <c r="B609" s="70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spans="2:24" ht="15" x14ac:dyDescent="0.2">
      <c r="B610" s="70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spans="2:24" ht="15" x14ac:dyDescent="0.2">
      <c r="B611" s="70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spans="2:24" ht="15" x14ac:dyDescent="0.2">
      <c r="B612" s="70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spans="2:24" ht="15" x14ac:dyDescent="0.2">
      <c r="B613" s="70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spans="2:24" ht="15" x14ac:dyDescent="0.2">
      <c r="B614" s="70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spans="2:24" ht="15" x14ac:dyDescent="0.2">
      <c r="B615" s="70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spans="2:24" ht="15" x14ac:dyDescent="0.2">
      <c r="B616" s="70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spans="2:24" ht="15" x14ac:dyDescent="0.2">
      <c r="B617" s="70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spans="2:24" ht="15" x14ac:dyDescent="0.2">
      <c r="B618" s="70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spans="2:24" ht="15" x14ac:dyDescent="0.2">
      <c r="B619" s="70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spans="2:24" ht="15" x14ac:dyDescent="0.2">
      <c r="B620" s="70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spans="2:24" ht="15" x14ac:dyDescent="0.2">
      <c r="B621" s="70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spans="2:24" ht="15" x14ac:dyDescent="0.2">
      <c r="B622" s="70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spans="2:24" ht="15" x14ac:dyDescent="0.2">
      <c r="B623" s="70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spans="2:24" ht="15" x14ac:dyDescent="0.2">
      <c r="B624" s="70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spans="2:24" ht="15" x14ac:dyDescent="0.2">
      <c r="B625" s="70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spans="2:24" ht="15" x14ac:dyDescent="0.2">
      <c r="B626" s="70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spans="2:24" ht="15" x14ac:dyDescent="0.2">
      <c r="B627" s="70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spans="2:24" ht="15" x14ac:dyDescent="0.2">
      <c r="B628" s="70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spans="2:24" ht="15" x14ac:dyDescent="0.2">
      <c r="B629" s="70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spans="2:24" ht="15" x14ac:dyDescent="0.2">
      <c r="B630" s="70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spans="2:24" ht="15" x14ac:dyDescent="0.2">
      <c r="B631" s="70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spans="2:24" ht="15" x14ac:dyDescent="0.2">
      <c r="B632" s="70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spans="2:24" ht="15" x14ac:dyDescent="0.2">
      <c r="B633" s="70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spans="2:24" ht="15" x14ac:dyDescent="0.2">
      <c r="B634" s="70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spans="2:24" ht="15" x14ac:dyDescent="0.2">
      <c r="B635" s="70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spans="2:24" ht="15" x14ac:dyDescent="0.2">
      <c r="B636" s="70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spans="2:24" ht="15" x14ac:dyDescent="0.2">
      <c r="B637" s="70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spans="2:24" ht="15" x14ac:dyDescent="0.2">
      <c r="B638" s="70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spans="2:24" ht="15" x14ac:dyDescent="0.2">
      <c r="B639" s="70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spans="2:24" ht="15" x14ac:dyDescent="0.2">
      <c r="B640" s="70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spans="2:24" ht="15" x14ac:dyDescent="0.2">
      <c r="B641" s="70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spans="2:24" ht="15" x14ac:dyDescent="0.2">
      <c r="B642" s="70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spans="2:24" ht="15" x14ac:dyDescent="0.2">
      <c r="B643" s="70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spans="2:24" ht="15" x14ac:dyDescent="0.2">
      <c r="B644" s="70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spans="2:24" ht="15" x14ac:dyDescent="0.2">
      <c r="B645" s="70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spans="2:24" ht="15" x14ac:dyDescent="0.2">
      <c r="B646" s="70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spans="2:24" ht="15" x14ac:dyDescent="0.2">
      <c r="B647" s="70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spans="2:24" ht="15" x14ac:dyDescent="0.2">
      <c r="B648" s="70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spans="2:24" ht="15" x14ac:dyDescent="0.2">
      <c r="B649" s="70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spans="2:24" ht="15" x14ac:dyDescent="0.2">
      <c r="B650" s="70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spans="2:24" ht="15" x14ac:dyDescent="0.2">
      <c r="B651" s="70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spans="2:24" ht="15" x14ac:dyDescent="0.2">
      <c r="B652" s="70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spans="2:24" ht="15" x14ac:dyDescent="0.2">
      <c r="B653" s="70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spans="2:24" ht="15" x14ac:dyDescent="0.2">
      <c r="B654" s="70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spans="2:24" ht="15" x14ac:dyDescent="0.2">
      <c r="B655" s="70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spans="2:24" ht="15" x14ac:dyDescent="0.2">
      <c r="B656" s="70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spans="2:24" ht="15" x14ac:dyDescent="0.2">
      <c r="B657" s="70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spans="2:24" ht="15" x14ac:dyDescent="0.2">
      <c r="B658" s="70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spans="2:24" ht="15" x14ac:dyDescent="0.2">
      <c r="B659" s="70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spans="2:24" ht="15" x14ac:dyDescent="0.2">
      <c r="B660" s="70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spans="2:24" ht="15" x14ac:dyDescent="0.2">
      <c r="B661" s="70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spans="2:24" ht="15" x14ac:dyDescent="0.2">
      <c r="B662" s="70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spans="2:24" ht="15" x14ac:dyDescent="0.2">
      <c r="B663" s="70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spans="2:24" ht="15" x14ac:dyDescent="0.2">
      <c r="B664" s="70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spans="2:24" ht="15" x14ac:dyDescent="0.2">
      <c r="B665" s="70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spans="2:24" ht="15" x14ac:dyDescent="0.2">
      <c r="B666" s="70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spans="2:24" ht="15" x14ac:dyDescent="0.2">
      <c r="B667" s="70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spans="2:24" ht="15" x14ac:dyDescent="0.2">
      <c r="B668" s="70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spans="2:24" ht="15" x14ac:dyDescent="0.2">
      <c r="B669" s="70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spans="2:24" ht="15" x14ac:dyDescent="0.2">
      <c r="B670" s="70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spans="2:24" ht="15" x14ac:dyDescent="0.2">
      <c r="B671" s="70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spans="2:24" ht="15" x14ac:dyDescent="0.2">
      <c r="B672" s="70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spans="2:24" ht="15" x14ac:dyDescent="0.2">
      <c r="B673" s="70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spans="2:24" ht="15" x14ac:dyDescent="0.2">
      <c r="B674" s="70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spans="2:24" ht="15" x14ac:dyDescent="0.2">
      <c r="B675" s="70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spans="2:24" ht="15" x14ac:dyDescent="0.2">
      <c r="B676" s="70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spans="2:24" ht="15" x14ac:dyDescent="0.2">
      <c r="B677" s="70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spans="2:24" ht="15" x14ac:dyDescent="0.2">
      <c r="B678" s="70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spans="2:24" ht="15" x14ac:dyDescent="0.2">
      <c r="B679" s="70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spans="2:24" ht="15" x14ac:dyDescent="0.2">
      <c r="B680" s="70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spans="2:24" ht="15" x14ac:dyDescent="0.2">
      <c r="B681" s="70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spans="2:24" ht="15" x14ac:dyDescent="0.2">
      <c r="B682" s="70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spans="2:24" ht="15" x14ac:dyDescent="0.2">
      <c r="B683" s="70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spans="2:24" ht="15" x14ac:dyDescent="0.2">
      <c r="B684" s="70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spans="2:24" ht="15" x14ac:dyDescent="0.2">
      <c r="B685" s="70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spans="2:24" ht="15" x14ac:dyDescent="0.2">
      <c r="B686" s="70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spans="2:24" ht="15" x14ac:dyDescent="0.2">
      <c r="B687" s="70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spans="2:24" ht="15" x14ac:dyDescent="0.2">
      <c r="B688" s="70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spans="2:24" ht="15" x14ac:dyDescent="0.2">
      <c r="B689" s="70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spans="2:24" ht="15" x14ac:dyDescent="0.2">
      <c r="B690" s="70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spans="2:24" ht="15" x14ac:dyDescent="0.2">
      <c r="B691" s="70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spans="2:24" ht="15" x14ac:dyDescent="0.2">
      <c r="B692" s="70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spans="2:24" ht="15" x14ac:dyDescent="0.2">
      <c r="B693" s="70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spans="2:24" ht="15" x14ac:dyDescent="0.2">
      <c r="B694" s="70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spans="2:24" ht="15" x14ac:dyDescent="0.2">
      <c r="B695" s="70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spans="2:24" ht="15" x14ac:dyDescent="0.2">
      <c r="B696" s="70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spans="2:24" ht="15" x14ac:dyDescent="0.2">
      <c r="B697" s="70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spans="2:24" ht="15" x14ac:dyDescent="0.2">
      <c r="B698" s="70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spans="2:24" ht="15" x14ac:dyDescent="0.2">
      <c r="B699" s="70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spans="2:24" ht="15" x14ac:dyDescent="0.2">
      <c r="B700" s="70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spans="2:24" ht="15" x14ac:dyDescent="0.2">
      <c r="B701" s="70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spans="2:24" ht="15" x14ac:dyDescent="0.2">
      <c r="B702" s="70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spans="2:24" ht="15" x14ac:dyDescent="0.2">
      <c r="B703" s="70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spans="2:24" ht="15" x14ac:dyDescent="0.2">
      <c r="B704" s="70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spans="2:24" ht="15" x14ac:dyDescent="0.2">
      <c r="B705" s="70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spans="2:24" ht="15" x14ac:dyDescent="0.2">
      <c r="B706" s="70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spans="2:24" ht="15" x14ac:dyDescent="0.2">
      <c r="B707" s="70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spans="2:24" ht="15" x14ac:dyDescent="0.2">
      <c r="B708" s="70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spans="2:24" ht="15" x14ac:dyDescent="0.2">
      <c r="B709" s="70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spans="2:24" ht="15" x14ac:dyDescent="0.2">
      <c r="B710" s="70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spans="2:24" ht="15" x14ac:dyDescent="0.2">
      <c r="B711" s="70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spans="2:24" ht="15" x14ac:dyDescent="0.2">
      <c r="B712" s="70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spans="2:24" ht="15" x14ac:dyDescent="0.2">
      <c r="B713" s="70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spans="2:24" ht="15" x14ac:dyDescent="0.2">
      <c r="B714" s="70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spans="2:24" ht="15" x14ac:dyDescent="0.2">
      <c r="B715" s="70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spans="2:24" ht="15" x14ac:dyDescent="0.2">
      <c r="B716" s="70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spans="2:24" ht="15" x14ac:dyDescent="0.2">
      <c r="B717" s="70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spans="2:24" ht="15" x14ac:dyDescent="0.2">
      <c r="B718" s="70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spans="2:24" ht="15" x14ac:dyDescent="0.2">
      <c r="B719" s="70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spans="2:24" ht="15" x14ac:dyDescent="0.2">
      <c r="B720" s="70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spans="2:24" ht="15" x14ac:dyDescent="0.2">
      <c r="B721" s="70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spans="2:24" ht="15" x14ac:dyDescent="0.2">
      <c r="B722" s="70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spans="2:24" ht="15" x14ac:dyDescent="0.2">
      <c r="B723" s="70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spans="2:24" ht="15" x14ac:dyDescent="0.2">
      <c r="B724" s="70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spans="2:24" ht="15" x14ac:dyDescent="0.2">
      <c r="B725" s="70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spans="2:24" ht="15" x14ac:dyDescent="0.2">
      <c r="B726" s="70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spans="2:24" ht="15" x14ac:dyDescent="0.2">
      <c r="B727" s="70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spans="2:24" ht="15" x14ac:dyDescent="0.2">
      <c r="B728" s="70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spans="2:24" ht="15" x14ac:dyDescent="0.2">
      <c r="B729" s="70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spans="2:24" ht="15" x14ac:dyDescent="0.2">
      <c r="B730" s="70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spans="2:24" ht="15" x14ac:dyDescent="0.2">
      <c r="B731" s="70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spans="2:24" ht="15" x14ac:dyDescent="0.2">
      <c r="B732" s="70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spans="2:24" ht="15" x14ac:dyDescent="0.2">
      <c r="B733" s="70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spans="2:24" ht="15" x14ac:dyDescent="0.2">
      <c r="B734" s="70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spans="2:24" ht="15" x14ac:dyDescent="0.2">
      <c r="B735" s="70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spans="2:24" ht="15" x14ac:dyDescent="0.2">
      <c r="B736" s="70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spans="2:24" ht="15" x14ac:dyDescent="0.2">
      <c r="B737" s="70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spans="2:24" ht="15" x14ac:dyDescent="0.2">
      <c r="B738" s="70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spans="2:24" ht="15" x14ac:dyDescent="0.2">
      <c r="B739" s="70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spans="2:24" ht="15" x14ac:dyDescent="0.2">
      <c r="B740" s="70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spans="2:24" ht="15" x14ac:dyDescent="0.2">
      <c r="B741" s="70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spans="2:24" ht="15" x14ac:dyDescent="0.2">
      <c r="B742" s="70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spans="2:24" ht="15" x14ac:dyDescent="0.2">
      <c r="B743" s="70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spans="2:24" ht="15" x14ac:dyDescent="0.2">
      <c r="B744" s="70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spans="2:24" ht="15" x14ac:dyDescent="0.2">
      <c r="B745" s="70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spans="2:24" ht="15" x14ac:dyDescent="0.2">
      <c r="B746" s="70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spans="2:24" ht="15" x14ac:dyDescent="0.2">
      <c r="B747" s="70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spans="2:24" ht="15" x14ac:dyDescent="0.2">
      <c r="B748" s="70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spans="2:24" ht="15" x14ac:dyDescent="0.2">
      <c r="B749" s="70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spans="2:24" ht="15" x14ac:dyDescent="0.2">
      <c r="B750" s="70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spans="2:24" ht="15" x14ac:dyDescent="0.2">
      <c r="B751" s="70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spans="2:24" ht="15" x14ac:dyDescent="0.2">
      <c r="B752" s="70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spans="2:24" ht="15" x14ac:dyDescent="0.2">
      <c r="B753" s="70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spans="2:24" ht="15" x14ac:dyDescent="0.2">
      <c r="B754" s="70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spans="2:24" ht="15" x14ac:dyDescent="0.2">
      <c r="B755" s="70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spans="2:24" ht="15" x14ac:dyDescent="0.2">
      <c r="B756" s="70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spans="2:24" ht="15" x14ac:dyDescent="0.2">
      <c r="B757" s="70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spans="2:24" ht="15" x14ac:dyDescent="0.2">
      <c r="B758" s="70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spans="2:24" ht="15" x14ac:dyDescent="0.2">
      <c r="B759" s="70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spans="2:24" ht="15" x14ac:dyDescent="0.2">
      <c r="B760" s="70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spans="2:24" ht="15" x14ac:dyDescent="0.2">
      <c r="B761" s="70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spans="2:24" ht="15" x14ac:dyDescent="0.2">
      <c r="B762" s="70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spans="2:24" ht="15" x14ac:dyDescent="0.2">
      <c r="B763" s="70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spans="2:24" ht="15" x14ac:dyDescent="0.2">
      <c r="B764" s="70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spans="2:24" ht="15" x14ac:dyDescent="0.2">
      <c r="B765" s="70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spans="2:24" ht="15" x14ac:dyDescent="0.2">
      <c r="B766" s="70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spans="2:24" ht="15" x14ac:dyDescent="0.2">
      <c r="B767" s="70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spans="2:24" ht="15" x14ac:dyDescent="0.2">
      <c r="B768" s="70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spans="2:24" ht="15" x14ac:dyDescent="0.2">
      <c r="B769" s="70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spans="2:24" ht="15" x14ac:dyDescent="0.2">
      <c r="B770" s="70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spans="2:24" ht="15" x14ac:dyDescent="0.2">
      <c r="B771" s="70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spans="2:24" ht="15" x14ac:dyDescent="0.2">
      <c r="B772" s="70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spans="2:24" ht="15" x14ac:dyDescent="0.2">
      <c r="B773" s="70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spans="2:24" ht="15" x14ac:dyDescent="0.2">
      <c r="B774" s="70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spans="2:24" ht="15" x14ac:dyDescent="0.2">
      <c r="B775" s="70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spans="2:24" ht="15" x14ac:dyDescent="0.2">
      <c r="B776" s="70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spans="2:24" ht="15" x14ac:dyDescent="0.2">
      <c r="B777" s="70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spans="2:24" ht="15" x14ac:dyDescent="0.2">
      <c r="B778" s="70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spans="2:24" ht="15" x14ac:dyDescent="0.2">
      <c r="B779" s="70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spans="2:24" ht="15" x14ac:dyDescent="0.2">
      <c r="B780" s="70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spans="2:24" ht="15" x14ac:dyDescent="0.2">
      <c r="B781" s="70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spans="2:24" ht="15" x14ac:dyDescent="0.2">
      <c r="B782" s="70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spans="2:24" ht="15" x14ac:dyDescent="0.2">
      <c r="B783" s="70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spans="2:24" ht="15" x14ac:dyDescent="0.2">
      <c r="B784" s="70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spans="2:24" ht="15" x14ac:dyDescent="0.2">
      <c r="B785" s="70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spans="2:24" ht="15" x14ac:dyDescent="0.2">
      <c r="B786" s="70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spans="2:24" ht="15" x14ac:dyDescent="0.2">
      <c r="B787" s="70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spans="2:24" ht="15" x14ac:dyDescent="0.2">
      <c r="B788" s="70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spans="2:24" ht="15" x14ac:dyDescent="0.2">
      <c r="B789" s="70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spans="2:24" ht="15" x14ac:dyDescent="0.2">
      <c r="B790" s="70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spans="2:24" ht="15" x14ac:dyDescent="0.2">
      <c r="B791" s="70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spans="2:24" ht="15" x14ac:dyDescent="0.2">
      <c r="B792" s="70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spans="2:24" ht="15" x14ac:dyDescent="0.2">
      <c r="B793" s="70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spans="2:24" ht="15" x14ac:dyDescent="0.2">
      <c r="B794" s="70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spans="2:24" ht="15" x14ac:dyDescent="0.2">
      <c r="B795" s="70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spans="2:24" ht="15" x14ac:dyDescent="0.2">
      <c r="B796" s="70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spans="2:24" ht="15" x14ac:dyDescent="0.2">
      <c r="B797" s="70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spans="2:24" ht="15" x14ac:dyDescent="0.2">
      <c r="B798" s="70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spans="2:24" ht="15" x14ac:dyDescent="0.2">
      <c r="B799" s="70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spans="2:24" ht="15" x14ac:dyDescent="0.2">
      <c r="B800" s="70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spans="2:24" ht="15" x14ac:dyDescent="0.2">
      <c r="B801" s="70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spans="2:24" ht="15" x14ac:dyDescent="0.2">
      <c r="B802" s="70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spans="2:24" ht="15" x14ac:dyDescent="0.2">
      <c r="B803" s="70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spans="2:24" ht="15" x14ac:dyDescent="0.2">
      <c r="B804" s="70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spans="2:24" ht="15" x14ac:dyDescent="0.2">
      <c r="B805" s="70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spans="2:24" ht="15" x14ac:dyDescent="0.2">
      <c r="B806" s="70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spans="2:24" ht="15" x14ac:dyDescent="0.2">
      <c r="B807" s="70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spans="2:24" ht="15" x14ac:dyDescent="0.2">
      <c r="B808" s="70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spans="2:24" ht="15" x14ac:dyDescent="0.2">
      <c r="B809" s="70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spans="2:24" ht="15" x14ac:dyDescent="0.2">
      <c r="B810" s="70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spans="2:24" ht="15" x14ac:dyDescent="0.2">
      <c r="B811" s="70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spans="2:24" ht="15" x14ac:dyDescent="0.2">
      <c r="B812" s="70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spans="2:24" ht="15" x14ac:dyDescent="0.2">
      <c r="B813" s="70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spans="2:24" ht="15" x14ac:dyDescent="0.2">
      <c r="B814" s="70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spans="2:24" ht="15" x14ac:dyDescent="0.2">
      <c r="B815" s="70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spans="2:24" ht="15" x14ac:dyDescent="0.2">
      <c r="B816" s="70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spans="2:24" ht="15" x14ac:dyDescent="0.2">
      <c r="B817" s="70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spans="2:24" ht="15" x14ac:dyDescent="0.2">
      <c r="B818" s="70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spans="2:24" ht="15" x14ac:dyDescent="0.2">
      <c r="B819" s="70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spans="2:24" ht="15" x14ac:dyDescent="0.2">
      <c r="B820" s="70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spans="2:24" ht="15" x14ac:dyDescent="0.2">
      <c r="B821" s="70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spans="2:24" ht="15" x14ac:dyDescent="0.2">
      <c r="B822" s="70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spans="2:24" ht="15" x14ac:dyDescent="0.2">
      <c r="B823" s="70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spans="2:24" ht="15" x14ac:dyDescent="0.2">
      <c r="B824" s="70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spans="2:24" ht="15" x14ac:dyDescent="0.2">
      <c r="B825" s="70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spans="2:24" ht="15" x14ac:dyDescent="0.2">
      <c r="B826" s="70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spans="2:24" ht="15" x14ac:dyDescent="0.2">
      <c r="B827" s="70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spans="2:24" ht="15" x14ac:dyDescent="0.2">
      <c r="B828" s="70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spans="2:24" ht="15" x14ac:dyDescent="0.2">
      <c r="B829" s="70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spans="2:24" ht="15" x14ac:dyDescent="0.2">
      <c r="B830" s="70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spans="2:24" ht="15" x14ac:dyDescent="0.2">
      <c r="B831" s="70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spans="2:24" ht="15" x14ac:dyDescent="0.2">
      <c r="B832" s="70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spans="2:24" ht="15" x14ac:dyDescent="0.2">
      <c r="B833" s="70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spans="2:24" ht="15" x14ac:dyDescent="0.2">
      <c r="B834" s="70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spans="2:24" ht="15" x14ac:dyDescent="0.2">
      <c r="B835" s="70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spans="2:24" ht="15" x14ac:dyDescent="0.2">
      <c r="B836" s="70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spans="2:24" ht="15" x14ac:dyDescent="0.2">
      <c r="B837" s="70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spans="2:24" ht="15" x14ac:dyDescent="0.2">
      <c r="B838" s="70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spans="2:24" ht="15" x14ac:dyDescent="0.2">
      <c r="B839" s="70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spans="2:24" ht="15" x14ac:dyDescent="0.2">
      <c r="B840" s="70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spans="2:24" ht="15" x14ac:dyDescent="0.2">
      <c r="B841" s="70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spans="2:24" ht="15" x14ac:dyDescent="0.2">
      <c r="B842" s="70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spans="2:24" ht="15" x14ac:dyDescent="0.2">
      <c r="B843" s="70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spans="2:24" ht="15" x14ac:dyDescent="0.2">
      <c r="B844" s="70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spans="2:24" ht="15" x14ac:dyDescent="0.2">
      <c r="B845" s="70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spans="2:24" ht="15" x14ac:dyDescent="0.2">
      <c r="B846" s="70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spans="2:24" ht="15" x14ac:dyDescent="0.2">
      <c r="B847" s="70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spans="2:24" ht="15" x14ac:dyDescent="0.2">
      <c r="B848" s="70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spans="2:24" ht="15" x14ac:dyDescent="0.2">
      <c r="B849" s="70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spans="2:24" ht="15" x14ac:dyDescent="0.2">
      <c r="B850" s="70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spans="2:24" ht="15" x14ac:dyDescent="0.2">
      <c r="B851" s="70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spans="2:24" ht="15" x14ac:dyDescent="0.2">
      <c r="B852" s="70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spans="2:24" ht="15" x14ac:dyDescent="0.2">
      <c r="B853" s="70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spans="2:24" ht="15" x14ac:dyDescent="0.2">
      <c r="B854" s="70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spans="2:24" ht="15" x14ac:dyDescent="0.2">
      <c r="B855" s="70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spans="2:24" ht="15" x14ac:dyDescent="0.2">
      <c r="B856" s="70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spans="2:24" ht="15" x14ac:dyDescent="0.2">
      <c r="B857" s="70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spans="2:24" ht="15" x14ac:dyDescent="0.2">
      <c r="B858" s="70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spans="2:24" ht="15" x14ac:dyDescent="0.2">
      <c r="B859" s="70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spans="2:24" ht="15" x14ac:dyDescent="0.2">
      <c r="B860" s="70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spans="2:24" ht="15" x14ac:dyDescent="0.2">
      <c r="B861" s="70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spans="2:24" ht="15" x14ac:dyDescent="0.2">
      <c r="B862" s="70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spans="2:24" ht="15" x14ac:dyDescent="0.2">
      <c r="B863" s="70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spans="2:24" ht="15" x14ac:dyDescent="0.2">
      <c r="B864" s="70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spans="2:24" ht="15" x14ac:dyDescent="0.2">
      <c r="B865" s="70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spans="2:24" ht="15" x14ac:dyDescent="0.2">
      <c r="B866" s="70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spans="2:24" ht="15" x14ac:dyDescent="0.2">
      <c r="B867" s="70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spans="2:24" ht="15" x14ac:dyDescent="0.2">
      <c r="B868" s="70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spans="2:24" ht="15" x14ac:dyDescent="0.2">
      <c r="B869" s="70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spans="2:24" ht="15" x14ac:dyDescent="0.2">
      <c r="B870" s="70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spans="2:24" ht="15" x14ac:dyDescent="0.2">
      <c r="B871" s="70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spans="2:24" ht="15" x14ac:dyDescent="0.2">
      <c r="B872" s="70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spans="2:24" ht="15" x14ac:dyDescent="0.2">
      <c r="B873" s="70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spans="2:24" ht="15" x14ac:dyDescent="0.2">
      <c r="B874" s="70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spans="2:24" ht="15" x14ac:dyDescent="0.2">
      <c r="B875" s="70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spans="2:24" ht="15" x14ac:dyDescent="0.2">
      <c r="B876" s="70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spans="2:24" ht="15" x14ac:dyDescent="0.2">
      <c r="B877" s="70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spans="2:24" ht="15" x14ac:dyDescent="0.2">
      <c r="B878" s="70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spans="2:24" ht="15" x14ac:dyDescent="0.2">
      <c r="B879" s="70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spans="2:24" ht="15" x14ac:dyDescent="0.2">
      <c r="B880" s="70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spans="2:24" ht="15" x14ac:dyDescent="0.2">
      <c r="B881" s="70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spans="2:24" ht="15" x14ac:dyDescent="0.2">
      <c r="B882" s="70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spans="2:24" ht="15" x14ac:dyDescent="0.2">
      <c r="B883" s="70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spans="2:24" ht="15" x14ac:dyDescent="0.2">
      <c r="B884" s="70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spans="2:24" ht="15" x14ac:dyDescent="0.2">
      <c r="B885" s="70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spans="2:24" ht="15" x14ac:dyDescent="0.2">
      <c r="B886" s="70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spans="2:24" ht="15" x14ac:dyDescent="0.2">
      <c r="B887" s="70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spans="2:24" ht="15" x14ac:dyDescent="0.2">
      <c r="B888" s="70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spans="2:24" ht="15" x14ac:dyDescent="0.2">
      <c r="B889" s="70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spans="2:24" ht="15" x14ac:dyDescent="0.2">
      <c r="B890" s="70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2:24" ht="15" x14ac:dyDescent="0.2">
      <c r="B891" s="70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spans="2:24" ht="15" x14ac:dyDescent="0.2">
      <c r="B892" s="70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spans="2:24" ht="15" x14ac:dyDescent="0.2">
      <c r="B893" s="70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spans="2:24" ht="15" x14ac:dyDescent="0.2">
      <c r="B894" s="70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spans="2:24" ht="15" x14ac:dyDescent="0.2">
      <c r="B895" s="70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spans="2:24" ht="15" x14ac:dyDescent="0.2">
      <c r="B896" s="70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spans="2:24" ht="15" x14ac:dyDescent="0.2">
      <c r="B897" s="70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spans="2:24" ht="15" x14ac:dyDescent="0.2">
      <c r="B898" s="70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spans="2:24" ht="15" x14ac:dyDescent="0.2">
      <c r="B899" s="70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spans="2:24" ht="15" x14ac:dyDescent="0.2">
      <c r="B900" s="70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spans="2:24" ht="15" x14ac:dyDescent="0.2">
      <c r="B901" s="70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spans="2:24" ht="15" x14ac:dyDescent="0.2">
      <c r="B902" s="70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spans="2:24" ht="15" x14ac:dyDescent="0.2">
      <c r="B903" s="70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spans="2:24" ht="15" x14ac:dyDescent="0.2">
      <c r="B904" s="70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spans="2:24" ht="15" x14ac:dyDescent="0.2">
      <c r="B905" s="70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spans="2:24" ht="15" x14ac:dyDescent="0.2">
      <c r="B906" s="70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spans="2:24" ht="15" x14ac:dyDescent="0.2">
      <c r="B907" s="70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spans="2:24" ht="15" x14ac:dyDescent="0.2">
      <c r="B908" s="70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spans="2:24" ht="15" x14ac:dyDescent="0.2">
      <c r="B909" s="70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spans="2:24" ht="15" x14ac:dyDescent="0.2">
      <c r="B910" s="70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spans="2:24" ht="15" x14ac:dyDescent="0.2">
      <c r="B911" s="70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spans="2:24" ht="15" x14ac:dyDescent="0.2">
      <c r="B912" s="70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spans="2:24" ht="15" x14ac:dyDescent="0.2">
      <c r="B913" s="70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spans="2:24" ht="15" x14ac:dyDescent="0.2">
      <c r="B914" s="70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spans="2:24" ht="15" x14ac:dyDescent="0.2">
      <c r="B915" s="70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spans="2:24" ht="15" x14ac:dyDescent="0.2">
      <c r="B916" s="70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spans="2:24" ht="15" x14ac:dyDescent="0.2">
      <c r="B917" s="70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spans="2:24" ht="15" x14ac:dyDescent="0.2">
      <c r="B918" s="70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spans="2:24" ht="15" x14ac:dyDescent="0.2">
      <c r="B919" s="70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spans="2:24" ht="15" x14ac:dyDescent="0.2">
      <c r="B920" s="70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spans="2:24" ht="15" x14ac:dyDescent="0.2">
      <c r="B921" s="70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spans="2:24" ht="15" x14ac:dyDescent="0.2">
      <c r="B922" s="70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spans="2:24" ht="15" x14ac:dyDescent="0.2">
      <c r="B923" s="70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spans="2:24" ht="15" x14ac:dyDescent="0.2">
      <c r="B924" s="70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spans="2:24" ht="15" x14ac:dyDescent="0.2">
      <c r="B925" s="70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spans="2:24" ht="15" x14ac:dyDescent="0.2">
      <c r="B926" s="70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spans="2:24" ht="15" x14ac:dyDescent="0.2">
      <c r="B927" s="70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spans="2:24" ht="15" x14ac:dyDescent="0.2">
      <c r="B928" s="70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spans="2:24" ht="15" x14ac:dyDescent="0.2">
      <c r="B929" s="70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spans="2:24" ht="15" x14ac:dyDescent="0.2">
      <c r="B930" s="70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spans="2:24" ht="15" x14ac:dyDescent="0.2">
      <c r="B931" s="70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spans="2:24" ht="15" x14ac:dyDescent="0.2">
      <c r="B932" s="70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spans="2:24" ht="15" x14ac:dyDescent="0.2">
      <c r="B933" s="70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spans="2:24" ht="15" x14ac:dyDescent="0.2">
      <c r="B934" s="70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spans="2:24" ht="15" x14ac:dyDescent="0.2">
      <c r="B935" s="70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spans="2:24" ht="15" x14ac:dyDescent="0.2">
      <c r="B936" s="70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spans="2:24" ht="15" x14ac:dyDescent="0.2">
      <c r="B937" s="70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spans="2:24" ht="15" x14ac:dyDescent="0.2">
      <c r="B938" s="70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spans="2:24" ht="15" x14ac:dyDescent="0.2">
      <c r="B939" s="70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spans="2:24" ht="15" x14ac:dyDescent="0.2">
      <c r="B940" s="70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spans="2:24" ht="15" x14ac:dyDescent="0.2">
      <c r="B941" s="70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spans="2:24" ht="15" x14ac:dyDescent="0.2">
      <c r="B942" s="70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spans="2:24" ht="15" x14ac:dyDescent="0.2">
      <c r="B943" s="70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spans="2:24" ht="15" x14ac:dyDescent="0.2">
      <c r="B944" s="70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spans="2:24" ht="15" x14ac:dyDescent="0.2">
      <c r="B945" s="70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spans="2:24" ht="15" x14ac:dyDescent="0.2">
      <c r="B946" s="70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spans="2:24" ht="15" x14ac:dyDescent="0.2">
      <c r="B947" s="70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spans="2:24" ht="15" x14ac:dyDescent="0.2">
      <c r="B948" s="70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spans="2:24" ht="15" x14ac:dyDescent="0.2">
      <c r="B949" s="70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spans="2:24" ht="15" x14ac:dyDescent="0.2">
      <c r="B950" s="70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spans="2:24" ht="15" x14ac:dyDescent="0.2">
      <c r="B951" s="70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spans="2:24" ht="15" x14ac:dyDescent="0.2">
      <c r="B952" s="70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spans="2:24" ht="15" x14ac:dyDescent="0.2">
      <c r="B953" s="70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spans="2:24" ht="15" x14ac:dyDescent="0.2">
      <c r="B954" s="70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spans="2:24" ht="15" x14ac:dyDescent="0.2">
      <c r="B955" s="70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spans="2:24" ht="15" x14ac:dyDescent="0.2">
      <c r="B956" s="70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spans="2:24" ht="15" x14ac:dyDescent="0.2">
      <c r="B957" s="70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spans="2:24" ht="15" x14ac:dyDescent="0.2">
      <c r="B958" s="70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spans="2:24" ht="15" x14ac:dyDescent="0.2">
      <c r="B959" s="70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spans="2:24" ht="15" x14ac:dyDescent="0.2">
      <c r="B960" s="70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spans="2:24" ht="15" x14ac:dyDescent="0.2">
      <c r="B961" s="70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spans="2:24" ht="15" x14ac:dyDescent="0.2">
      <c r="B962" s="70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spans="2:24" ht="15" x14ac:dyDescent="0.2">
      <c r="B963" s="70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spans="2:24" ht="15" x14ac:dyDescent="0.2">
      <c r="B964" s="70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spans="2:24" ht="15" x14ac:dyDescent="0.2">
      <c r="B965" s="70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spans="2:24" ht="15" x14ac:dyDescent="0.2">
      <c r="B966" s="70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spans="2:24" ht="15" x14ac:dyDescent="0.2">
      <c r="B967" s="70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spans="2:24" ht="15" x14ac:dyDescent="0.2">
      <c r="B968" s="70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spans="2:24" ht="15" x14ac:dyDescent="0.2">
      <c r="B969" s="70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spans="2:24" ht="15" x14ac:dyDescent="0.2">
      <c r="B970" s="70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spans="2:24" ht="15" x14ac:dyDescent="0.2">
      <c r="B971" s="70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spans="2:24" ht="15" x14ac:dyDescent="0.2">
      <c r="B972" s="70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spans="2:24" ht="15" x14ac:dyDescent="0.2">
      <c r="B973" s="70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spans="2:24" ht="15" x14ac:dyDescent="0.2">
      <c r="B974" s="70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spans="2:24" ht="15" x14ac:dyDescent="0.2">
      <c r="B975" s="70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spans="2:24" ht="15" x14ac:dyDescent="0.2">
      <c r="B976" s="70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spans="2:24" ht="15" x14ac:dyDescent="0.2">
      <c r="B977" s="70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spans="2:24" ht="15" x14ac:dyDescent="0.2">
      <c r="B978" s="70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spans="2:24" ht="15" x14ac:dyDescent="0.2">
      <c r="B979" s="70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spans="2:24" ht="15" x14ac:dyDescent="0.2">
      <c r="B980" s="70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spans="2:24" ht="15" x14ac:dyDescent="0.2">
      <c r="B981" s="70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spans="2:24" ht="15" x14ac:dyDescent="0.2">
      <c r="B982" s="70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spans="2:24" ht="15" x14ac:dyDescent="0.2">
      <c r="B983" s="70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spans="2:24" ht="15" x14ac:dyDescent="0.2">
      <c r="B984" s="70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spans="2:24" ht="15" x14ac:dyDescent="0.2">
      <c r="B985" s="70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spans="2:24" ht="15" x14ac:dyDescent="0.2">
      <c r="B986" s="70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spans="2:24" ht="15" x14ac:dyDescent="0.2">
      <c r="B987" s="70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spans="2:24" ht="15" x14ac:dyDescent="0.2">
      <c r="B988" s="70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spans="2:24" ht="15" x14ac:dyDescent="0.2">
      <c r="B989" s="70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spans="2:24" ht="15" x14ac:dyDescent="0.2">
      <c r="B990" s="70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spans="2:24" ht="15" x14ac:dyDescent="0.2">
      <c r="B991" s="70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spans="2:24" ht="15" x14ac:dyDescent="0.2">
      <c r="B992" s="70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spans="2:24" ht="15" x14ac:dyDescent="0.2">
      <c r="B993" s="70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spans="2:24" ht="15" x14ac:dyDescent="0.2">
      <c r="B994" s="70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  <row r="995" spans="2:24" ht="15" x14ac:dyDescent="0.2">
      <c r="B995" s="70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</row>
    <row r="996" spans="2:24" ht="15" x14ac:dyDescent="0.2">
      <c r="B996" s="70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</row>
    <row r="997" spans="2:24" ht="15" x14ac:dyDescent="0.2">
      <c r="B997" s="70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</row>
    <row r="998" spans="2:24" ht="15" x14ac:dyDescent="0.2">
      <c r="B998" s="70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</row>
    <row r="999" spans="2:24" ht="15" x14ac:dyDescent="0.2">
      <c r="B999" s="70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</row>
    <row r="1000" spans="2:24" ht="15" x14ac:dyDescent="0.2">
      <c r="B1000" s="70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86716-F92D-4DCD-A898-EDB4EE1A0A94}">
  <sheetPr>
    <tabColor theme="4"/>
    <outlinePr summaryBelow="0" summaryRight="0"/>
  </sheetPr>
  <dimension ref="A1:AO1000"/>
  <sheetViews>
    <sheetView workbookViewId="0">
      <selection activeCell="C45" sqref="C45"/>
    </sheetView>
  </sheetViews>
  <sheetFormatPr baseColWidth="10" defaultColWidth="14.3984375" defaultRowHeight="15.75" customHeight="1" x14ac:dyDescent="0.2"/>
  <cols>
    <col min="1" max="1" width="22.3984375" style="69" customWidth="1"/>
    <col min="2" max="2" width="24.19921875" style="69" bestFit="1" customWidth="1"/>
    <col min="3" max="3" width="25.59765625" style="69" customWidth="1"/>
    <col min="4" max="4" width="25.3984375" style="69" customWidth="1"/>
    <col min="5" max="5" width="24.3984375" style="69" bestFit="1" customWidth="1"/>
    <col min="6" max="6" width="20.19921875" style="69" bestFit="1" customWidth="1"/>
    <col min="7" max="7" width="19.796875" style="69" bestFit="1" customWidth="1"/>
    <col min="8" max="8" width="20.3984375" style="69" bestFit="1" customWidth="1"/>
    <col min="9" max="10" width="20.796875" style="69" bestFit="1" customWidth="1"/>
    <col min="11" max="11" width="20" style="69" bestFit="1" customWidth="1"/>
    <col min="12" max="12" width="20.19921875" style="69" bestFit="1" customWidth="1"/>
    <col min="13" max="13" width="20.3984375" style="69" bestFit="1" customWidth="1"/>
    <col min="14" max="14" width="20.796875" style="69" bestFit="1" customWidth="1"/>
    <col min="15" max="16" width="20" style="69" bestFit="1" customWidth="1"/>
    <col min="17" max="17" width="20.3984375" style="69" bestFit="1" customWidth="1"/>
    <col min="18" max="18" width="21.3984375" style="69" bestFit="1" customWidth="1"/>
    <col min="19" max="19" width="21" style="69" bestFit="1" customWidth="1"/>
    <col min="20" max="20" width="20" style="69" bestFit="1" customWidth="1"/>
    <col min="21" max="21" width="19.19921875" style="69" bestFit="1" customWidth="1"/>
    <col min="22" max="22" width="19.59765625" style="69" bestFit="1" customWidth="1"/>
    <col min="23" max="23" width="19" style="69" bestFit="1" customWidth="1"/>
    <col min="24" max="24" width="22.3984375" style="69" bestFit="1" customWidth="1"/>
    <col min="25" max="25" width="19.3984375" style="69" bestFit="1" customWidth="1"/>
    <col min="26" max="26" width="20.3984375" style="69" bestFit="1" customWidth="1"/>
    <col min="27" max="27" width="20.19921875" style="69" bestFit="1" customWidth="1"/>
    <col min="28" max="28" width="19.796875" style="69" bestFit="1" customWidth="1"/>
    <col min="29" max="29" width="19.19921875" style="69" bestFit="1" customWidth="1"/>
    <col min="30" max="30" width="19.796875" style="69" bestFit="1" customWidth="1"/>
    <col min="31" max="31" width="19.3984375" style="69" bestFit="1" customWidth="1"/>
    <col min="32" max="32" width="20.19921875" style="69" bestFit="1" customWidth="1"/>
    <col min="33" max="33" width="20.3984375" style="69" bestFit="1" customWidth="1"/>
    <col min="34" max="36" width="20.19921875" style="69" bestFit="1" customWidth="1"/>
    <col min="37" max="37" width="18.19921875" style="69" bestFit="1" customWidth="1"/>
    <col min="38" max="16384" width="14.3984375" style="69"/>
  </cols>
  <sheetData>
    <row r="1" spans="1:41" ht="15.75" customHeight="1" x14ac:dyDescent="0.2">
      <c r="A1" s="81" t="s">
        <v>1</v>
      </c>
      <c r="B1" s="81" t="s">
        <v>74</v>
      </c>
      <c r="C1" s="81" t="s">
        <v>102</v>
      </c>
      <c r="D1" s="81" t="s">
        <v>103</v>
      </c>
      <c r="E1" s="81" t="s">
        <v>104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pans="1:41" ht="15.75" customHeight="1" x14ac:dyDescent="0.2">
      <c r="A2" s="78" t="s">
        <v>2</v>
      </c>
      <c r="B2" s="77">
        <v>118666631698.01999</v>
      </c>
      <c r="C2" s="77">
        <v>157406272206.17999</v>
      </c>
      <c r="D2" s="79">
        <v>145172555775.71997</v>
      </c>
      <c r="E2" s="79">
        <v>325250810557.10999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</row>
    <row r="3" spans="1:41" ht="15.75" customHeight="1" x14ac:dyDescent="0.2">
      <c r="A3" s="78" t="s">
        <v>3</v>
      </c>
      <c r="B3" s="79">
        <v>100167738081.48999</v>
      </c>
      <c r="C3" s="79">
        <v>108373257500.29001</v>
      </c>
      <c r="D3" s="79">
        <v>161964579012.42999</v>
      </c>
      <c r="E3" s="79">
        <v>267856216074.97</v>
      </c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spans="1:41" ht="15.75" customHeight="1" x14ac:dyDescent="0.2">
      <c r="A4" s="78" t="s">
        <v>4</v>
      </c>
      <c r="B4" s="79">
        <v>360551256000</v>
      </c>
      <c r="C4" s="79">
        <v>435425927000</v>
      </c>
      <c r="D4" s="79">
        <v>442227039000</v>
      </c>
      <c r="E4" s="79">
        <v>816437531000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spans="1:41" ht="15.75" customHeight="1" x14ac:dyDescent="0.2">
      <c r="A5" s="78" t="s">
        <v>5</v>
      </c>
      <c r="B5" s="79">
        <v>122767952903.70001</v>
      </c>
      <c r="C5" s="79">
        <v>121410777383.95</v>
      </c>
      <c r="D5" s="79">
        <v>162551996113.79999</v>
      </c>
      <c r="E5" s="79">
        <v>295691402478.39001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spans="1:41" ht="15.75" customHeight="1" x14ac:dyDescent="0.2">
      <c r="A6" s="78" t="s">
        <v>6</v>
      </c>
      <c r="B6" s="79">
        <v>126523284259.92</v>
      </c>
      <c r="C6" s="79">
        <v>152004608380.89001</v>
      </c>
      <c r="D6" s="79">
        <v>160479094079.09003</v>
      </c>
      <c r="E6" s="79">
        <v>320141832886.09003</v>
      </c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spans="1:41" ht="15.75" customHeight="1" x14ac:dyDescent="0.2">
      <c r="A7" s="78" t="s">
        <v>7</v>
      </c>
      <c r="B7" s="79">
        <v>238316148602.53</v>
      </c>
      <c r="C7" s="79">
        <v>311908228392.53998</v>
      </c>
      <c r="D7" s="79">
        <v>492345363512.27002</v>
      </c>
      <c r="E7" s="79">
        <v>818404619359.79004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</row>
    <row r="8" spans="1:41" ht="15.75" customHeight="1" x14ac:dyDescent="0.2">
      <c r="A8" s="78" t="s">
        <v>8</v>
      </c>
      <c r="B8" s="79">
        <v>89565262909.650009</v>
      </c>
      <c r="C8" s="79">
        <v>115023246729.57001</v>
      </c>
      <c r="D8" s="79">
        <v>121269218040.12</v>
      </c>
      <c r="E8" s="79">
        <v>272347435551.57001</v>
      </c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spans="1:41" ht="15.75" customHeight="1" x14ac:dyDescent="0.2">
      <c r="A9" s="78" t="s">
        <v>9</v>
      </c>
      <c r="B9" s="79">
        <v>149563888672</v>
      </c>
      <c r="C9" s="79">
        <v>159272306933</v>
      </c>
      <c r="D9" s="79">
        <v>199592937267</v>
      </c>
      <c r="E9" s="79">
        <v>439496194881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</row>
    <row r="10" spans="1:41" ht="15.75" customHeight="1" x14ac:dyDescent="0.2">
      <c r="A10" s="78" t="s">
        <v>10</v>
      </c>
      <c r="B10" s="79">
        <v>147033001506.44998</v>
      </c>
      <c r="C10" s="79">
        <v>139549862483.42999</v>
      </c>
      <c r="D10" s="79">
        <v>136438749520.8</v>
      </c>
      <c r="E10" s="79">
        <v>432377326586.30603</v>
      </c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</row>
    <row r="11" spans="1:41" ht="15.75" customHeight="1" x14ac:dyDescent="0.2">
      <c r="A11" s="78" t="s">
        <v>11</v>
      </c>
      <c r="B11" s="79">
        <v>382205677550.38</v>
      </c>
      <c r="C11" s="79">
        <v>585522420430.83008</v>
      </c>
      <c r="D11" s="79">
        <v>579502987944.22998</v>
      </c>
      <c r="E11" s="79">
        <v>733349296839.45996</v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</row>
    <row r="12" spans="1:41" ht="15.75" customHeight="1" x14ac:dyDescent="0.2">
      <c r="A12" s="78" t="s">
        <v>12</v>
      </c>
      <c r="B12" s="79">
        <v>109064114578.75</v>
      </c>
      <c r="C12" s="79">
        <v>122778575594.78</v>
      </c>
      <c r="D12" s="79">
        <v>130871817116.42</v>
      </c>
      <c r="E12" s="79">
        <v>227130697200.67999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</row>
    <row r="13" spans="1:41" ht="15.75" customHeight="1" x14ac:dyDescent="0.2">
      <c r="A13" s="78" t="s">
        <v>13</v>
      </c>
      <c r="B13" s="79">
        <v>177942402949.90005</v>
      </c>
      <c r="C13" s="79">
        <v>207123044500.17999</v>
      </c>
      <c r="D13" s="79">
        <v>272382613492.56</v>
      </c>
      <c r="E13" s="79">
        <v>458569547463.92999</v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spans="1:41" ht="15.75" customHeight="1" x14ac:dyDescent="0.2">
      <c r="A14" s="78" t="s">
        <v>14</v>
      </c>
      <c r="B14" s="79">
        <v>104435363456</v>
      </c>
      <c r="C14" s="79">
        <v>119236534429.48</v>
      </c>
      <c r="D14" s="79">
        <v>130507295495.89</v>
      </c>
      <c r="E14" s="79">
        <v>369654784185.69</v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</row>
    <row r="15" spans="1:41" ht="15.75" customHeight="1" x14ac:dyDescent="0.2">
      <c r="A15" s="78" t="s">
        <v>15</v>
      </c>
      <c r="B15" s="79">
        <v>172207225408.13</v>
      </c>
      <c r="C15" s="79">
        <v>130476972409.89001</v>
      </c>
      <c r="D15" s="79">
        <v>179693720216.44</v>
      </c>
      <c r="E15" s="79">
        <v>476500513607.72998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</row>
    <row r="16" spans="1:41" ht="15.75" customHeight="1" x14ac:dyDescent="0.2">
      <c r="A16" s="78" t="s">
        <v>16</v>
      </c>
      <c r="B16" s="79">
        <v>108277814379.48999</v>
      </c>
      <c r="C16" s="79">
        <v>144024311265.29999</v>
      </c>
      <c r="D16" s="79">
        <v>161730514615.45001</v>
      </c>
      <c r="E16" s="79">
        <v>301441205117.15002</v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</row>
    <row r="17" spans="1:25" ht="15.75" customHeight="1" x14ac:dyDescent="0.2">
      <c r="A17" s="78" t="s">
        <v>17</v>
      </c>
      <c r="B17" s="79">
        <v>134144273089.97002</v>
      </c>
      <c r="C17" s="79">
        <v>183945010377.19</v>
      </c>
      <c r="D17" s="79">
        <v>193211323917.04999</v>
      </c>
      <c r="E17" s="79">
        <v>339971419278.10999</v>
      </c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</row>
    <row r="18" spans="1:25" ht="15.75" customHeight="1" x14ac:dyDescent="0.2">
      <c r="A18" s="78" t="s">
        <v>18</v>
      </c>
      <c r="B18" s="79">
        <v>136762278908.12001</v>
      </c>
      <c r="C18" s="79">
        <v>156234042410.88</v>
      </c>
      <c r="D18" s="79">
        <v>277791097635.89001</v>
      </c>
      <c r="E18" s="79">
        <v>414782493093.90997</v>
      </c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</row>
    <row r="19" spans="1:25" ht="15.75" customHeight="1" x14ac:dyDescent="0.2">
      <c r="A19" s="78" t="s">
        <v>19</v>
      </c>
      <c r="B19" s="79">
        <v>232356208000</v>
      </c>
      <c r="C19" s="79">
        <v>223954909000</v>
      </c>
      <c r="D19" s="79">
        <v>238746818351.5</v>
      </c>
      <c r="E19" s="79">
        <v>465090086802.62701</v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</row>
    <row r="20" spans="1:25" ht="15" x14ac:dyDescent="0.2">
      <c r="A20" s="78" t="s">
        <v>20</v>
      </c>
      <c r="B20" s="79">
        <v>185976944000</v>
      </c>
      <c r="C20" s="79">
        <v>235635037000</v>
      </c>
      <c r="D20" s="79">
        <v>274398734999.99719</v>
      </c>
      <c r="E20" s="79">
        <v>454972341416.14801</v>
      </c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</row>
    <row r="21" spans="1:25" ht="15" x14ac:dyDescent="0.2">
      <c r="A21" s="78" t="s">
        <v>21</v>
      </c>
      <c r="B21" s="79">
        <v>156927478478.15002</v>
      </c>
      <c r="C21" s="79">
        <v>187221677466.67001</v>
      </c>
      <c r="D21" s="79">
        <v>143263642987.59003</v>
      </c>
      <c r="E21" s="79">
        <v>347245687737.84003</v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</row>
    <row r="22" spans="1:25" ht="15" x14ac:dyDescent="0.2">
      <c r="A22" s="78" t="s">
        <v>22</v>
      </c>
      <c r="B22" s="79">
        <v>80949206539.23999</v>
      </c>
      <c r="C22" s="79">
        <v>91319468494.170013</v>
      </c>
      <c r="D22" s="77">
        <v>113182521631.17</v>
      </c>
      <c r="E22" s="79">
        <v>159731180505.26001</v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</row>
    <row r="23" spans="1:25" ht="15" x14ac:dyDescent="0.2">
      <c r="A23" s="78" t="s">
        <v>23</v>
      </c>
      <c r="B23" s="79">
        <v>101509125484.3</v>
      </c>
      <c r="C23" s="79">
        <v>153165716243.53</v>
      </c>
      <c r="D23" s="77">
        <v>176055349179.90036</v>
      </c>
      <c r="E23" s="79">
        <v>273010848812.56</v>
      </c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1:25" ht="15" x14ac:dyDescent="0.2">
      <c r="A24" s="78" t="s">
        <v>24</v>
      </c>
      <c r="B24" s="79">
        <v>107304428418.13</v>
      </c>
      <c r="C24" s="79">
        <v>147217120156.75</v>
      </c>
      <c r="D24" s="77">
        <v>181625331210.22</v>
      </c>
      <c r="E24" s="79">
        <v>317980603599.57001</v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</row>
    <row r="25" spans="1:25" ht="15" x14ac:dyDescent="0.2">
      <c r="A25" s="78" t="s">
        <v>25</v>
      </c>
      <c r="B25" s="79">
        <v>805149147693</v>
      </c>
      <c r="C25" s="79">
        <v>1276651646000</v>
      </c>
      <c r="D25" s="77">
        <v>1558472503000</v>
      </c>
      <c r="E25" s="79">
        <v>2109235309303.26</v>
      </c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1:25" ht="15" x14ac:dyDescent="0.2">
      <c r="A26" s="78" t="s">
        <v>26</v>
      </c>
      <c r="B26" s="79">
        <v>99249200292.429993</v>
      </c>
      <c r="C26" s="79">
        <v>119302170317.15002</v>
      </c>
      <c r="D26" s="77">
        <v>154972860488.38</v>
      </c>
      <c r="E26" s="77">
        <v>314394305287.88702</v>
      </c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</row>
    <row r="27" spans="1:25" ht="15" x14ac:dyDescent="0.2">
      <c r="A27" s="78" t="s">
        <v>27</v>
      </c>
      <c r="B27" s="77">
        <v>117114011069.97</v>
      </c>
      <c r="C27" s="77">
        <v>150943777505</v>
      </c>
      <c r="D27" s="77">
        <v>247984599986.07001</v>
      </c>
      <c r="E27" s="77">
        <v>532998596676</v>
      </c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</row>
    <row r="28" spans="1:25" ht="15" x14ac:dyDescent="0.2">
      <c r="A28" s="78" t="s">
        <v>28</v>
      </c>
      <c r="B28" s="77">
        <v>261530212782.95001</v>
      </c>
      <c r="C28" s="77">
        <v>292204577278.5899</v>
      </c>
      <c r="D28" s="77">
        <v>278509094383.52002</v>
      </c>
      <c r="E28" s="77">
        <v>479425196521.53003</v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spans="1:25" ht="15" x14ac:dyDescent="0.2">
      <c r="A29" s="78" t="s">
        <v>29</v>
      </c>
      <c r="B29" s="77">
        <v>119460987765.20001</v>
      </c>
      <c r="C29" s="77">
        <v>168119407126.09</v>
      </c>
      <c r="D29" s="77">
        <v>212945504885.83997</v>
      </c>
      <c r="E29" s="77">
        <v>424727142016.87402</v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</row>
    <row r="30" spans="1:25" ht="15" x14ac:dyDescent="0.2">
      <c r="A30" s="78" t="s">
        <v>30</v>
      </c>
      <c r="B30" s="77">
        <v>99369037598.609985</v>
      </c>
      <c r="C30" s="77">
        <v>129578117191.45</v>
      </c>
      <c r="D30" s="77">
        <v>153444576666.09998</v>
      </c>
      <c r="E30" s="77">
        <v>266996998955.702</v>
      </c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</row>
    <row r="31" spans="1:25" ht="15" x14ac:dyDescent="0.2">
      <c r="A31" s="78" t="s">
        <v>31</v>
      </c>
      <c r="B31" s="77">
        <v>196808636286.51001</v>
      </c>
      <c r="C31" s="77">
        <v>211794746016.70001</v>
      </c>
      <c r="D31" s="77">
        <v>238976338252.5</v>
      </c>
      <c r="E31" s="77">
        <v>447460932767.76001</v>
      </c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</row>
    <row r="32" spans="1:25" ht="15" x14ac:dyDescent="0.2">
      <c r="A32" s="78" t="s">
        <v>32</v>
      </c>
      <c r="B32" s="77">
        <v>93116529674.830002</v>
      </c>
      <c r="C32" s="77">
        <v>114615231919.34</v>
      </c>
      <c r="D32" s="77">
        <v>184727050008.28003</v>
      </c>
      <c r="E32" s="77">
        <v>325032002925.96399</v>
      </c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</row>
    <row r="33" spans="1:36" ht="15" x14ac:dyDescent="0.2">
      <c r="A33" s="78" t="s">
        <v>33</v>
      </c>
      <c r="B33" s="77">
        <v>565658986422.77002</v>
      </c>
      <c r="C33" s="77">
        <v>529620674281.75</v>
      </c>
      <c r="D33" s="77">
        <v>730868293558.32996</v>
      </c>
      <c r="E33" s="77">
        <v>0</v>
      </c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spans="1:36" ht="15" x14ac:dyDescent="0.2">
      <c r="A34" s="78" t="s">
        <v>34</v>
      </c>
      <c r="B34" s="77">
        <v>150367645758.26999</v>
      </c>
      <c r="C34" s="77">
        <v>188022096829.41</v>
      </c>
      <c r="D34" s="77">
        <v>131486834661.59</v>
      </c>
      <c r="E34" s="77">
        <v>329927318263.38702</v>
      </c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</row>
    <row r="35" spans="1:36" ht="15" x14ac:dyDescent="0.2">
      <c r="A35" s="78" t="s">
        <v>35</v>
      </c>
      <c r="B35" s="77">
        <v>75115396737.709991</v>
      </c>
      <c r="C35" s="77">
        <v>104214595470.34999</v>
      </c>
      <c r="D35" s="77">
        <v>109678293878.32001</v>
      </c>
      <c r="E35" s="77">
        <v>324967033066.42999</v>
      </c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</row>
    <row r="36" spans="1:36" ht="15" x14ac:dyDescent="0.2">
      <c r="A36" s="78" t="s">
        <v>36</v>
      </c>
      <c r="B36" s="77">
        <v>117012460751.12</v>
      </c>
      <c r="C36" s="77">
        <v>133367228072</v>
      </c>
      <c r="D36" s="77">
        <v>147291821606.66003</v>
      </c>
      <c r="E36" s="77">
        <v>284327516186.47101</v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</row>
    <row r="37" spans="1:36" ht="15" x14ac:dyDescent="0.2">
      <c r="A37" s="78" t="s">
        <v>37</v>
      </c>
      <c r="B37" s="77">
        <v>91980331288.690002</v>
      </c>
      <c r="C37" s="77">
        <v>134020532553.20001</v>
      </c>
      <c r="D37" s="77">
        <v>118998787849.71001</v>
      </c>
      <c r="E37" s="77">
        <v>258443665754.82999</v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spans="1:36" s="73" customFormat="1" ht="15" x14ac:dyDescent="0.2">
      <c r="A38" s="76" t="s">
        <v>108</v>
      </c>
      <c r="B38" s="75">
        <f>SUM(B2:B37)</f>
        <v>6435150289996.3799</v>
      </c>
      <c r="C38" s="75">
        <f>SUM(C2:C37)</f>
        <v>7940684127350.5293</v>
      </c>
      <c r="D38" s="75">
        <f>SUM(D2:D37)</f>
        <v>9343361860340.8379</v>
      </c>
      <c r="E38" s="75">
        <f>SUM(E2:E37)</f>
        <v>15425370092761.984</v>
      </c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</row>
    <row r="39" spans="1:36" ht="15" x14ac:dyDescent="0.2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1:36" ht="15" x14ac:dyDescent="0.2">
      <c r="A40" s="7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</row>
    <row r="41" spans="1:36" ht="15" x14ac:dyDescent="0.2"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spans="1:36" ht="15" x14ac:dyDescent="0.2"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spans="1:36" ht="15" x14ac:dyDescent="0.2"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spans="1:36" ht="15" x14ac:dyDescent="0.2"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1:36" ht="15" x14ac:dyDescent="0.2"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1:36" ht="15" x14ac:dyDescent="0.2"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1:36" ht="15" x14ac:dyDescent="0.2"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spans="1:36" ht="15" x14ac:dyDescent="0.2"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spans="2:25" ht="15" x14ac:dyDescent="0.2"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spans="2:25" ht="15" x14ac:dyDescent="0.2"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</row>
    <row r="51" spans="2:25" ht="15" x14ac:dyDescent="0.2"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</row>
    <row r="52" spans="2:25" ht="15" x14ac:dyDescent="0.2"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</row>
    <row r="53" spans="2:25" ht="15" x14ac:dyDescent="0.2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</row>
    <row r="54" spans="2:25" ht="15" x14ac:dyDescent="0.2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</row>
    <row r="55" spans="2:25" ht="15" x14ac:dyDescent="0.2"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</row>
    <row r="56" spans="2:25" ht="15" x14ac:dyDescent="0.2"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</row>
    <row r="57" spans="2:25" ht="15" x14ac:dyDescent="0.2"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</row>
    <row r="58" spans="2:25" ht="15" x14ac:dyDescent="0.2"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</row>
    <row r="59" spans="2:25" ht="15" x14ac:dyDescent="0.2"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</row>
    <row r="60" spans="2:25" ht="15" x14ac:dyDescent="0.2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</row>
    <row r="61" spans="2:25" ht="15" x14ac:dyDescent="0.2"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</row>
    <row r="62" spans="2:25" ht="15" x14ac:dyDescent="0.2"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</row>
    <row r="63" spans="2:25" ht="15" x14ac:dyDescent="0.2"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</row>
    <row r="64" spans="2:25" ht="15" x14ac:dyDescent="0.2"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 spans="2:25" ht="15" x14ac:dyDescent="0.2"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</row>
    <row r="66" spans="2:25" ht="15" x14ac:dyDescent="0.2"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</row>
    <row r="67" spans="2:25" ht="15" x14ac:dyDescent="0.2"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</row>
    <row r="68" spans="2:25" ht="15" x14ac:dyDescent="0.2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</row>
    <row r="69" spans="2:25" ht="15" x14ac:dyDescent="0.2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</row>
    <row r="70" spans="2:25" ht="15" x14ac:dyDescent="0.2"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</row>
    <row r="71" spans="2:25" ht="15" x14ac:dyDescent="0.2"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</row>
    <row r="72" spans="2:25" ht="15" x14ac:dyDescent="0.2"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</row>
    <row r="73" spans="2:25" ht="15" x14ac:dyDescent="0.2"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</row>
    <row r="74" spans="2:25" ht="15" x14ac:dyDescent="0.2"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 spans="2:25" ht="15" x14ac:dyDescent="0.2"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</row>
    <row r="76" spans="2:25" ht="15" x14ac:dyDescent="0.2"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</row>
    <row r="77" spans="2:25" ht="15" x14ac:dyDescent="0.2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</row>
    <row r="78" spans="2:25" ht="15" x14ac:dyDescent="0.2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</row>
    <row r="79" spans="2:25" ht="15" x14ac:dyDescent="0.2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</row>
    <row r="80" spans="2:25" ht="15" x14ac:dyDescent="0.2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</row>
    <row r="81" spans="2:25" ht="15" x14ac:dyDescent="0.2"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</row>
    <row r="82" spans="2:25" ht="15" x14ac:dyDescent="0.2"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</row>
    <row r="83" spans="2:25" ht="15" x14ac:dyDescent="0.2"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</row>
    <row r="84" spans="2:25" ht="15" x14ac:dyDescent="0.2"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spans="2:25" ht="15" x14ac:dyDescent="0.2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</row>
    <row r="86" spans="2:25" ht="15" x14ac:dyDescent="0.2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</row>
    <row r="87" spans="2:25" ht="15" x14ac:dyDescent="0.2"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</row>
    <row r="88" spans="2:25" ht="15" x14ac:dyDescent="0.2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</row>
    <row r="89" spans="2:25" ht="15" x14ac:dyDescent="0.2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</row>
    <row r="90" spans="2:25" ht="15" x14ac:dyDescent="0.2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</row>
    <row r="91" spans="2:25" ht="15" x14ac:dyDescent="0.2"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</row>
    <row r="92" spans="2:25" ht="15" x14ac:dyDescent="0.2"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</row>
    <row r="93" spans="2:25" ht="15" x14ac:dyDescent="0.2"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</row>
    <row r="94" spans="2:25" ht="15" x14ac:dyDescent="0.2"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</row>
    <row r="95" spans="2:25" ht="15" x14ac:dyDescent="0.2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 spans="2:25" ht="15" x14ac:dyDescent="0.2"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</row>
    <row r="97" spans="2:25" ht="15" x14ac:dyDescent="0.2"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</row>
    <row r="98" spans="2:25" ht="15" x14ac:dyDescent="0.2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</row>
    <row r="99" spans="2:25" ht="15" x14ac:dyDescent="0.2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</row>
    <row r="100" spans="2:25" ht="15" x14ac:dyDescent="0.2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</row>
    <row r="101" spans="2:25" ht="15" x14ac:dyDescent="0.2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</row>
    <row r="102" spans="2:25" ht="15" x14ac:dyDescent="0.2"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</row>
    <row r="103" spans="2:25" ht="15" x14ac:dyDescent="0.2"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</row>
    <row r="104" spans="2:25" ht="15" x14ac:dyDescent="0.2"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</row>
    <row r="105" spans="2:25" ht="15" x14ac:dyDescent="0.2"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 spans="2:25" ht="15" x14ac:dyDescent="0.2"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</row>
    <row r="107" spans="2:25" ht="15" x14ac:dyDescent="0.2"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</row>
    <row r="108" spans="2:25" ht="15" x14ac:dyDescent="0.2"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</row>
    <row r="109" spans="2:25" ht="15" x14ac:dyDescent="0.2"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</row>
    <row r="110" spans="2:25" ht="15" x14ac:dyDescent="0.2"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</row>
    <row r="111" spans="2:25" ht="15" x14ac:dyDescent="0.2"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</row>
    <row r="112" spans="2:25" ht="15" x14ac:dyDescent="0.2"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</row>
    <row r="113" spans="2:25" ht="15" x14ac:dyDescent="0.2"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</row>
    <row r="114" spans="2:25" ht="15" x14ac:dyDescent="0.2"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</row>
    <row r="115" spans="2:25" ht="15" x14ac:dyDescent="0.2"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 spans="2:25" ht="15" x14ac:dyDescent="0.2"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</row>
    <row r="117" spans="2:25" ht="15" x14ac:dyDescent="0.2"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</row>
    <row r="118" spans="2:25" ht="15" x14ac:dyDescent="0.2"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</row>
    <row r="119" spans="2:25" ht="15" x14ac:dyDescent="0.2"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</row>
    <row r="120" spans="2:25" ht="15" x14ac:dyDescent="0.2"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</row>
    <row r="121" spans="2:25" ht="15" x14ac:dyDescent="0.2"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</row>
    <row r="122" spans="2:25" ht="15" x14ac:dyDescent="0.2"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</row>
    <row r="123" spans="2:25" ht="15" x14ac:dyDescent="0.2"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</row>
    <row r="124" spans="2:25" ht="15" x14ac:dyDescent="0.2"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</row>
    <row r="125" spans="2:25" ht="15" x14ac:dyDescent="0.2"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spans="2:25" ht="15" x14ac:dyDescent="0.2"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</row>
    <row r="127" spans="2:25" ht="15" x14ac:dyDescent="0.2"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</row>
    <row r="128" spans="2:25" ht="15" x14ac:dyDescent="0.2"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</row>
    <row r="129" spans="2:25" ht="15" x14ac:dyDescent="0.2"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</row>
    <row r="130" spans="2:25" ht="15" x14ac:dyDescent="0.2"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</row>
    <row r="131" spans="2:25" ht="15" x14ac:dyDescent="0.2"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</row>
    <row r="132" spans="2:25" ht="15" x14ac:dyDescent="0.2"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</row>
    <row r="133" spans="2:25" ht="15" x14ac:dyDescent="0.2"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</row>
    <row r="134" spans="2:25" ht="15" x14ac:dyDescent="0.2"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</row>
    <row r="135" spans="2:25" ht="15" x14ac:dyDescent="0.2"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spans="2:25" ht="15" x14ac:dyDescent="0.2"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</row>
    <row r="137" spans="2:25" ht="15" x14ac:dyDescent="0.2"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</row>
    <row r="138" spans="2:25" ht="15" x14ac:dyDescent="0.2"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</row>
    <row r="139" spans="2:25" ht="15" x14ac:dyDescent="0.2"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</row>
    <row r="140" spans="2:25" ht="15" x14ac:dyDescent="0.2"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</row>
    <row r="141" spans="2:25" ht="15" x14ac:dyDescent="0.2"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</row>
    <row r="142" spans="2:25" ht="15" x14ac:dyDescent="0.2"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</row>
    <row r="143" spans="2:25" ht="15" x14ac:dyDescent="0.2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</row>
    <row r="144" spans="2:25" ht="15" x14ac:dyDescent="0.2"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</row>
    <row r="145" spans="2:25" ht="15" x14ac:dyDescent="0.2"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 spans="2:25" ht="15" x14ac:dyDescent="0.2"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</row>
    <row r="147" spans="2:25" ht="15" x14ac:dyDescent="0.2"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</row>
    <row r="148" spans="2:25" ht="15" x14ac:dyDescent="0.2"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</row>
    <row r="149" spans="2:25" ht="15" x14ac:dyDescent="0.2"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</row>
    <row r="150" spans="2:25" ht="15" x14ac:dyDescent="0.2"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</row>
    <row r="151" spans="2:25" ht="15" x14ac:dyDescent="0.2"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</row>
    <row r="152" spans="2:25" ht="15" x14ac:dyDescent="0.2"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</row>
    <row r="153" spans="2:25" ht="15" x14ac:dyDescent="0.2"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</row>
    <row r="154" spans="2:25" ht="15" x14ac:dyDescent="0.2"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</row>
    <row r="155" spans="2:25" ht="15" x14ac:dyDescent="0.2"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</row>
    <row r="156" spans="2:25" ht="15" x14ac:dyDescent="0.2"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</row>
    <row r="157" spans="2:25" ht="15" x14ac:dyDescent="0.2"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</row>
    <row r="158" spans="2:25" ht="15" x14ac:dyDescent="0.2"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</row>
    <row r="159" spans="2:25" ht="15" x14ac:dyDescent="0.2"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</row>
    <row r="160" spans="2:25" ht="15" x14ac:dyDescent="0.2"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</row>
    <row r="161" spans="2:25" ht="15" x14ac:dyDescent="0.2"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</row>
    <row r="162" spans="2:25" ht="15" x14ac:dyDescent="0.2"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</row>
    <row r="163" spans="2:25" ht="15" x14ac:dyDescent="0.2"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</row>
    <row r="164" spans="2:25" ht="15" x14ac:dyDescent="0.2"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</row>
    <row r="165" spans="2:25" ht="15" x14ac:dyDescent="0.2"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</row>
    <row r="166" spans="2:25" ht="15" x14ac:dyDescent="0.2"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</row>
    <row r="167" spans="2:25" ht="15" x14ac:dyDescent="0.2"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</row>
    <row r="168" spans="2:25" ht="15" x14ac:dyDescent="0.2"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</row>
    <row r="169" spans="2:25" ht="15" x14ac:dyDescent="0.2"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</row>
    <row r="170" spans="2:25" ht="15" x14ac:dyDescent="0.2"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</row>
    <row r="171" spans="2:25" ht="15" x14ac:dyDescent="0.2"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</row>
    <row r="172" spans="2:25" ht="15" x14ac:dyDescent="0.2"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</row>
    <row r="173" spans="2:25" ht="15" x14ac:dyDescent="0.2"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</row>
    <row r="174" spans="2:25" ht="15" x14ac:dyDescent="0.2"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</row>
    <row r="175" spans="2:25" ht="15" x14ac:dyDescent="0.2"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</row>
    <row r="176" spans="2:25" ht="15" x14ac:dyDescent="0.2"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</row>
    <row r="177" spans="2:25" ht="15" x14ac:dyDescent="0.2"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</row>
    <row r="178" spans="2:25" ht="15" x14ac:dyDescent="0.2"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 spans="2:25" ht="15" x14ac:dyDescent="0.2"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</row>
    <row r="180" spans="2:25" ht="15" x14ac:dyDescent="0.2"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</row>
    <row r="181" spans="2:25" ht="15" x14ac:dyDescent="0.2"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</row>
    <row r="182" spans="2:25" ht="15" x14ac:dyDescent="0.2"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</row>
    <row r="183" spans="2:25" ht="15" x14ac:dyDescent="0.2"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</row>
    <row r="184" spans="2:25" ht="15" x14ac:dyDescent="0.2"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</row>
    <row r="185" spans="2:25" ht="15" x14ac:dyDescent="0.2"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</row>
    <row r="186" spans="2:25" ht="15" x14ac:dyDescent="0.2"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</row>
    <row r="187" spans="2:25" ht="15" x14ac:dyDescent="0.2"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</row>
    <row r="188" spans="2:25" ht="15" x14ac:dyDescent="0.2"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</row>
    <row r="189" spans="2:25" ht="15" x14ac:dyDescent="0.2"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</row>
    <row r="190" spans="2:25" ht="15" x14ac:dyDescent="0.2"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</row>
    <row r="191" spans="2:25" ht="15" x14ac:dyDescent="0.2"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</row>
    <row r="192" spans="2:25" ht="15" x14ac:dyDescent="0.2"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</row>
    <row r="193" spans="2:25" ht="15" x14ac:dyDescent="0.2"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</row>
    <row r="194" spans="2:25" ht="15" x14ac:dyDescent="0.2"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</row>
    <row r="195" spans="2:25" ht="15" x14ac:dyDescent="0.2"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</row>
    <row r="196" spans="2:25" ht="15" x14ac:dyDescent="0.2"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</row>
    <row r="197" spans="2:25" ht="15" x14ac:dyDescent="0.2"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</row>
    <row r="198" spans="2:25" ht="15" x14ac:dyDescent="0.2"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</row>
    <row r="199" spans="2:25" ht="15" x14ac:dyDescent="0.2"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</row>
    <row r="200" spans="2:25" ht="15" x14ac:dyDescent="0.2"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</row>
    <row r="201" spans="2:25" ht="15" x14ac:dyDescent="0.2"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</row>
    <row r="202" spans="2:25" ht="15" x14ac:dyDescent="0.2"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</row>
    <row r="203" spans="2:25" ht="15" x14ac:dyDescent="0.2"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</row>
    <row r="204" spans="2:25" ht="15" x14ac:dyDescent="0.2"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</row>
    <row r="205" spans="2:25" ht="15" x14ac:dyDescent="0.2"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</row>
    <row r="206" spans="2:25" ht="15" x14ac:dyDescent="0.2"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</row>
    <row r="207" spans="2:25" ht="15" x14ac:dyDescent="0.2"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</row>
    <row r="208" spans="2:25" ht="15" x14ac:dyDescent="0.2"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</row>
    <row r="209" spans="2:25" ht="15" x14ac:dyDescent="0.2"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</row>
    <row r="210" spans="2:25" ht="15" x14ac:dyDescent="0.2"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</row>
    <row r="211" spans="2:25" ht="15" x14ac:dyDescent="0.2"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</row>
    <row r="212" spans="2:25" ht="15" x14ac:dyDescent="0.2"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</row>
    <row r="213" spans="2:25" ht="15" x14ac:dyDescent="0.2"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</row>
    <row r="214" spans="2:25" ht="15" x14ac:dyDescent="0.2"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</row>
    <row r="215" spans="2:25" ht="15" x14ac:dyDescent="0.2"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</row>
    <row r="216" spans="2:25" ht="15" x14ac:dyDescent="0.2"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</row>
    <row r="217" spans="2:25" ht="15" x14ac:dyDescent="0.2"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</row>
    <row r="218" spans="2:25" ht="15" x14ac:dyDescent="0.2"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</row>
    <row r="219" spans="2:25" ht="15" x14ac:dyDescent="0.2"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</row>
    <row r="220" spans="2:25" ht="15" x14ac:dyDescent="0.2"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</row>
    <row r="221" spans="2:25" ht="15" x14ac:dyDescent="0.2"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</row>
    <row r="222" spans="2:25" ht="15" x14ac:dyDescent="0.2"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</row>
    <row r="223" spans="2:25" ht="15" x14ac:dyDescent="0.2"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</row>
    <row r="224" spans="2:25" ht="15" x14ac:dyDescent="0.2"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</row>
    <row r="225" spans="2:25" ht="15" x14ac:dyDescent="0.2"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</row>
    <row r="226" spans="2:25" ht="15" x14ac:dyDescent="0.2"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</row>
    <row r="227" spans="2:25" ht="15" x14ac:dyDescent="0.2"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</row>
    <row r="228" spans="2:25" ht="15" x14ac:dyDescent="0.2"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</row>
    <row r="229" spans="2:25" ht="15" x14ac:dyDescent="0.2"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</row>
    <row r="230" spans="2:25" ht="15" x14ac:dyDescent="0.2"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</row>
    <row r="231" spans="2:25" ht="15" x14ac:dyDescent="0.2"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</row>
    <row r="232" spans="2:25" ht="15" x14ac:dyDescent="0.2"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</row>
    <row r="233" spans="2:25" ht="15" x14ac:dyDescent="0.2"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</row>
    <row r="234" spans="2:25" ht="15" x14ac:dyDescent="0.2"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</row>
    <row r="235" spans="2:25" ht="15" x14ac:dyDescent="0.2"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</row>
    <row r="236" spans="2:25" ht="15" x14ac:dyDescent="0.2"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</row>
    <row r="237" spans="2:25" ht="15" x14ac:dyDescent="0.2"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</row>
    <row r="238" spans="2:25" ht="15" x14ac:dyDescent="0.2"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</row>
    <row r="239" spans="2:25" ht="15" x14ac:dyDescent="0.2"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</row>
    <row r="240" spans="2:25" ht="15" x14ac:dyDescent="0.2"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</row>
    <row r="241" spans="2:25" ht="15" x14ac:dyDescent="0.2"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</row>
    <row r="242" spans="2:25" ht="15" x14ac:dyDescent="0.2"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</row>
    <row r="243" spans="2:25" ht="15" x14ac:dyDescent="0.2"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</row>
    <row r="244" spans="2:25" ht="15" x14ac:dyDescent="0.2"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</row>
    <row r="245" spans="2:25" ht="15" x14ac:dyDescent="0.2"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</row>
    <row r="246" spans="2:25" ht="15" x14ac:dyDescent="0.2"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</row>
    <row r="247" spans="2:25" ht="15" x14ac:dyDescent="0.2"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</row>
    <row r="248" spans="2:25" ht="15" x14ac:dyDescent="0.2"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</row>
    <row r="249" spans="2:25" ht="15" x14ac:dyDescent="0.2"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</row>
    <row r="250" spans="2:25" ht="15" x14ac:dyDescent="0.2"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</row>
    <row r="251" spans="2:25" ht="15" x14ac:dyDescent="0.2"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</row>
    <row r="252" spans="2:25" ht="15" x14ac:dyDescent="0.2"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</row>
    <row r="253" spans="2:25" ht="15" x14ac:dyDescent="0.2"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</row>
    <row r="254" spans="2:25" ht="15" x14ac:dyDescent="0.2"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</row>
    <row r="255" spans="2:25" ht="15" x14ac:dyDescent="0.2"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</row>
    <row r="256" spans="2:25" ht="15" x14ac:dyDescent="0.2"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</row>
    <row r="257" spans="2:25" ht="15" x14ac:dyDescent="0.2"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</row>
    <row r="258" spans="2:25" ht="15" x14ac:dyDescent="0.2"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</row>
    <row r="259" spans="2:25" ht="15" x14ac:dyDescent="0.2"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</row>
    <row r="260" spans="2:25" ht="15" x14ac:dyDescent="0.2"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</row>
    <row r="261" spans="2:25" ht="15" x14ac:dyDescent="0.2"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</row>
    <row r="262" spans="2:25" ht="15" x14ac:dyDescent="0.2"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</row>
    <row r="263" spans="2:25" ht="15" x14ac:dyDescent="0.2"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</row>
    <row r="264" spans="2:25" ht="15" x14ac:dyDescent="0.2"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</row>
    <row r="265" spans="2:25" ht="15" x14ac:dyDescent="0.2"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</row>
    <row r="266" spans="2:25" ht="15" x14ac:dyDescent="0.2"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</row>
    <row r="267" spans="2:25" ht="15" x14ac:dyDescent="0.2"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</row>
    <row r="268" spans="2:25" ht="15" x14ac:dyDescent="0.2"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</row>
    <row r="269" spans="2:25" ht="15" x14ac:dyDescent="0.2"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</row>
    <row r="270" spans="2:25" ht="15" x14ac:dyDescent="0.2"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</row>
    <row r="271" spans="2:25" ht="15" x14ac:dyDescent="0.2"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</row>
    <row r="272" spans="2:25" ht="15" x14ac:dyDescent="0.2"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</row>
    <row r="273" spans="2:25" ht="15" x14ac:dyDescent="0.2"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</row>
    <row r="274" spans="2:25" ht="15" x14ac:dyDescent="0.2"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</row>
    <row r="275" spans="2:25" ht="15" x14ac:dyDescent="0.2"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</row>
    <row r="276" spans="2:25" ht="15" x14ac:dyDescent="0.2"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</row>
    <row r="277" spans="2:25" ht="15" x14ac:dyDescent="0.2"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</row>
    <row r="278" spans="2:25" ht="15" x14ac:dyDescent="0.2"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</row>
    <row r="279" spans="2:25" ht="15" x14ac:dyDescent="0.2"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</row>
    <row r="280" spans="2:25" ht="15" x14ac:dyDescent="0.2"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</row>
    <row r="281" spans="2:25" ht="15" x14ac:dyDescent="0.2"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</row>
    <row r="282" spans="2:25" ht="15" x14ac:dyDescent="0.2"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</row>
    <row r="283" spans="2:25" ht="15" x14ac:dyDescent="0.2"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</row>
    <row r="284" spans="2:25" ht="15" x14ac:dyDescent="0.2"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</row>
    <row r="285" spans="2:25" ht="15" x14ac:dyDescent="0.2"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</row>
    <row r="286" spans="2:25" ht="15" x14ac:dyDescent="0.2"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</row>
    <row r="287" spans="2:25" ht="15" x14ac:dyDescent="0.2"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</row>
    <row r="288" spans="2:25" ht="15" x14ac:dyDescent="0.2"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</row>
    <row r="289" spans="2:25" ht="15" x14ac:dyDescent="0.2"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</row>
    <row r="290" spans="2:25" ht="15" x14ac:dyDescent="0.2"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</row>
    <row r="291" spans="2:25" ht="15" x14ac:dyDescent="0.2"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</row>
    <row r="292" spans="2:25" ht="15" x14ac:dyDescent="0.2"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</row>
    <row r="293" spans="2:25" ht="15" x14ac:dyDescent="0.2"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</row>
    <row r="294" spans="2:25" ht="15" x14ac:dyDescent="0.2"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</row>
    <row r="295" spans="2:25" ht="15" x14ac:dyDescent="0.2"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</row>
    <row r="296" spans="2:25" ht="15" x14ac:dyDescent="0.2"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</row>
    <row r="297" spans="2:25" ht="15" x14ac:dyDescent="0.2"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</row>
    <row r="298" spans="2:25" ht="15" x14ac:dyDescent="0.2"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</row>
    <row r="299" spans="2:25" ht="15" x14ac:dyDescent="0.2"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</row>
    <row r="300" spans="2:25" ht="15" x14ac:dyDescent="0.2"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</row>
    <row r="301" spans="2:25" ht="15" x14ac:dyDescent="0.2"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</row>
    <row r="302" spans="2:25" ht="15" x14ac:dyDescent="0.2"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</row>
    <row r="303" spans="2:25" ht="15" x14ac:dyDescent="0.2"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</row>
    <row r="304" spans="2:25" ht="15" x14ac:dyDescent="0.2"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</row>
    <row r="305" spans="2:25" ht="15" x14ac:dyDescent="0.2"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</row>
    <row r="306" spans="2:25" ht="15" x14ac:dyDescent="0.2"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</row>
    <row r="307" spans="2:25" ht="15" x14ac:dyDescent="0.2"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</row>
    <row r="308" spans="2:25" ht="15" x14ac:dyDescent="0.2"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</row>
    <row r="309" spans="2:25" ht="15" x14ac:dyDescent="0.2"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</row>
    <row r="310" spans="2:25" ht="15" x14ac:dyDescent="0.2"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</row>
    <row r="311" spans="2:25" ht="15" x14ac:dyDescent="0.2"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</row>
    <row r="312" spans="2:25" ht="15" x14ac:dyDescent="0.2"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</row>
    <row r="313" spans="2:25" ht="15" x14ac:dyDescent="0.2"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</row>
    <row r="314" spans="2:25" ht="15" x14ac:dyDescent="0.2"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</row>
    <row r="315" spans="2:25" ht="15" x14ac:dyDescent="0.2"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</row>
    <row r="316" spans="2:25" ht="15" x14ac:dyDescent="0.2"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</row>
    <row r="317" spans="2:25" ht="15" x14ac:dyDescent="0.2"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</row>
    <row r="318" spans="2:25" ht="15" x14ac:dyDescent="0.2"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</row>
    <row r="319" spans="2:25" ht="15" x14ac:dyDescent="0.2"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</row>
    <row r="320" spans="2:25" ht="15" x14ac:dyDescent="0.2"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</row>
    <row r="321" spans="2:25" ht="15" x14ac:dyDescent="0.2"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</row>
    <row r="322" spans="2:25" ht="15" x14ac:dyDescent="0.2"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</row>
    <row r="323" spans="2:25" ht="15" x14ac:dyDescent="0.2"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</row>
    <row r="324" spans="2:25" ht="15" x14ac:dyDescent="0.2"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</row>
    <row r="325" spans="2:25" ht="15" x14ac:dyDescent="0.2"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</row>
    <row r="326" spans="2:25" ht="15" x14ac:dyDescent="0.2"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</row>
    <row r="327" spans="2:25" ht="15" x14ac:dyDescent="0.2"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</row>
    <row r="328" spans="2:25" ht="15" x14ac:dyDescent="0.2"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</row>
    <row r="329" spans="2:25" ht="15" x14ac:dyDescent="0.2"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</row>
    <row r="330" spans="2:25" ht="15" x14ac:dyDescent="0.2"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</row>
    <row r="331" spans="2:25" ht="15" x14ac:dyDescent="0.2"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</row>
    <row r="332" spans="2:25" ht="15" x14ac:dyDescent="0.2"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</row>
    <row r="333" spans="2:25" ht="15" x14ac:dyDescent="0.2"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</row>
    <row r="334" spans="2:25" ht="15" x14ac:dyDescent="0.2"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</row>
    <row r="335" spans="2:25" ht="15" x14ac:dyDescent="0.2"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</row>
    <row r="336" spans="2:25" ht="15" x14ac:dyDescent="0.2"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</row>
    <row r="337" spans="2:25" ht="15" x14ac:dyDescent="0.2"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</row>
    <row r="338" spans="2:25" ht="15" x14ac:dyDescent="0.2"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</row>
    <row r="339" spans="2:25" ht="15" x14ac:dyDescent="0.2"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</row>
    <row r="340" spans="2:25" ht="15" x14ac:dyDescent="0.2"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</row>
    <row r="341" spans="2:25" ht="15" x14ac:dyDescent="0.2"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</row>
    <row r="342" spans="2:25" ht="15" x14ac:dyDescent="0.2"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</row>
    <row r="343" spans="2:25" ht="15" x14ac:dyDescent="0.2"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</row>
    <row r="344" spans="2:25" ht="15" x14ac:dyDescent="0.2"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</row>
    <row r="345" spans="2:25" ht="15" x14ac:dyDescent="0.2"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</row>
    <row r="346" spans="2:25" ht="15" x14ac:dyDescent="0.2"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</row>
    <row r="347" spans="2:25" ht="15" x14ac:dyDescent="0.2"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</row>
    <row r="348" spans="2:25" ht="15" x14ac:dyDescent="0.2"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</row>
    <row r="349" spans="2:25" ht="15" x14ac:dyDescent="0.2"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</row>
    <row r="350" spans="2:25" ht="15" x14ac:dyDescent="0.2"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</row>
    <row r="351" spans="2:25" ht="15" x14ac:dyDescent="0.2"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</row>
    <row r="352" spans="2:25" ht="15" x14ac:dyDescent="0.2"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</row>
    <row r="353" spans="2:25" ht="15" x14ac:dyDescent="0.2"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</row>
    <row r="354" spans="2:25" ht="15" x14ac:dyDescent="0.2"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</row>
    <row r="355" spans="2:25" ht="15" x14ac:dyDescent="0.2"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</row>
    <row r="356" spans="2:25" ht="15" x14ac:dyDescent="0.2"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</row>
    <row r="357" spans="2:25" ht="15" x14ac:dyDescent="0.2"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</row>
    <row r="358" spans="2:25" ht="15" x14ac:dyDescent="0.2"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</row>
    <row r="359" spans="2:25" ht="15" x14ac:dyDescent="0.2"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</row>
    <row r="360" spans="2:25" ht="15" x14ac:dyDescent="0.2"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</row>
    <row r="361" spans="2:25" ht="15" x14ac:dyDescent="0.2"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</row>
    <row r="362" spans="2:25" ht="15" x14ac:dyDescent="0.2"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</row>
    <row r="363" spans="2:25" ht="15" x14ac:dyDescent="0.2"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</row>
    <row r="364" spans="2:25" ht="15" x14ac:dyDescent="0.2"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</row>
    <row r="365" spans="2:25" ht="15" x14ac:dyDescent="0.2"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</row>
    <row r="366" spans="2:25" ht="15" x14ac:dyDescent="0.2"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</row>
    <row r="367" spans="2:25" ht="15" x14ac:dyDescent="0.2"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</row>
    <row r="368" spans="2:25" ht="15" x14ac:dyDescent="0.2"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</row>
    <row r="369" spans="2:25" ht="15" x14ac:dyDescent="0.2"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</row>
    <row r="370" spans="2:25" ht="15" x14ac:dyDescent="0.2"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</row>
    <row r="371" spans="2:25" ht="15" x14ac:dyDescent="0.2"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</row>
    <row r="372" spans="2:25" ht="15" x14ac:dyDescent="0.2"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</row>
    <row r="373" spans="2:25" ht="15" x14ac:dyDescent="0.2"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</row>
    <row r="374" spans="2:25" ht="15" x14ac:dyDescent="0.2"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</row>
    <row r="375" spans="2:25" ht="15" x14ac:dyDescent="0.2"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</row>
    <row r="376" spans="2:25" ht="15" x14ac:dyDescent="0.2"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</row>
    <row r="377" spans="2:25" ht="15" x14ac:dyDescent="0.2"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</row>
    <row r="378" spans="2:25" ht="15" x14ac:dyDescent="0.2"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</row>
    <row r="379" spans="2:25" ht="15" x14ac:dyDescent="0.2"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</row>
    <row r="380" spans="2:25" ht="15" x14ac:dyDescent="0.2"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</row>
    <row r="381" spans="2:25" ht="15" x14ac:dyDescent="0.2"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</row>
    <row r="382" spans="2:25" ht="15" x14ac:dyDescent="0.2"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</row>
    <row r="383" spans="2:25" ht="15" x14ac:dyDescent="0.2"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</row>
    <row r="384" spans="2:25" ht="15" x14ac:dyDescent="0.2"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</row>
    <row r="385" spans="2:25" ht="15" x14ac:dyDescent="0.2"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</row>
    <row r="386" spans="2:25" ht="15" x14ac:dyDescent="0.2"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</row>
    <row r="387" spans="2:25" ht="15" x14ac:dyDescent="0.2"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</row>
    <row r="388" spans="2:25" ht="15" x14ac:dyDescent="0.2"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</row>
    <row r="389" spans="2:25" ht="15" x14ac:dyDescent="0.2"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</row>
    <row r="390" spans="2:25" ht="15" x14ac:dyDescent="0.2"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</row>
    <row r="391" spans="2:25" ht="15" x14ac:dyDescent="0.2"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</row>
    <row r="392" spans="2:25" ht="15" x14ac:dyDescent="0.2"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</row>
    <row r="393" spans="2:25" ht="15" x14ac:dyDescent="0.2"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</row>
    <row r="394" spans="2:25" ht="15" x14ac:dyDescent="0.2"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</row>
    <row r="395" spans="2:25" ht="15" x14ac:dyDescent="0.2"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</row>
    <row r="396" spans="2:25" ht="15" x14ac:dyDescent="0.2"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</row>
    <row r="397" spans="2:25" ht="15" x14ac:dyDescent="0.2"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</row>
    <row r="398" spans="2:25" ht="15" x14ac:dyDescent="0.2"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</row>
    <row r="399" spans="2:25" ht="15" x14ac:dyDescent="0.2"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</row>
    <row r="400" spans="2:25" ht="15" x14ac:dyDescent="0.2"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</row>
    <row r="401" spans="2:25" ht="15" x14ac:dyDescent="0.2"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</row>
    <row r="402" spans="2:25" ht="15" x14ac:dyDescent="0.2"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</row>
    <row r="403" spans="2:25" ht="15" x14ac:dyDescent="0.2"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</row>
    <row r="404" spans="2:25" ht="15" x14ac:dyDescent="0.2"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</row>
    <row r="405" spans="2:25" ht="15" x14ac:dyDescent="0.2"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</row>
    <row r="406" spans="2:25" ht="15" x14ac:dyDescent="0.2"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</row>
    <row r="407" spans="2:25" ht="15" x14ac:dyDescent="0.2"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</row>
    <row r="408" spans="2:25" ht="15" x14ac:dyDescent="0.2"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</row>
    <row r="409" spans="2:25" ht="15" x14ac:dyDescent="0.2"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</row>
    <row r="410" spans="2:25" ht="15" x14ac:dyDescent="0.2"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</row>
    <row r="411" spans="2:25" ht="15" x14ac:dyDescent="0.2"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</row>
    <row r="412" spans="2:25" ht="15" x14ac:dyDescent="0.2"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</row>
    <row r="413" spans="2:25" ht="15" x14ac:dyDescent="0.2"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</row>
    <row r="414" spans="2:25" ht="15" x14ac:dyDescent="0.2"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</row>
    <row r="415" spans="2:25" ht="15" x14ac:dyDescent="0.2"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</row>
    <row r="416" spans="2:25" ht="15" x14ac:dyDescent="0.2"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</row>
    <row r="417" spans="2:25" ht="15" x14ac:dyDescent="0.2"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</row>
    <row r="418" spans="2:25" ht="15" x14ac:dyDescent="0.2"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</row>
    <row r="419" spans="2:25" ht="15" x14ac:dyDescent="0.2"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</row>
    <row r="420" spans="2:25" ht="15" x14ac:dyDescent="0.2"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</row>
    <row r="421" spans="2:25" ht="15" x14ac:dyDescent="0.2"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</row>
    <row r="422" spans="2:25" ht="15" x14ac:dyDescent="0.2"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</row>
    <row r="423" spans="2:25" ht="15" x14ac:dyDescent="0.2"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</row>
    <row r="424" spans="2:25" ht="15" x14ac:dyDescent="0.2"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</row>
    <row r="425" spans="2:25" ht="15" x14ac:dyDescent="0.2"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</row>
    <row r="426" spans="2:25" ht="15" x14ac:dyDescent="0.2"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</row>
    <row r="427" spans="2:25" ht="15" x14ac:dyDescent="0.2"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</row>
    <row r="428" spans="2:25" ht="15" x14ac:dyDescent="0.2"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</row>
    <row r="429" spans="2:25" ht="15" x14ac:dyDescent="0.2"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</row>
    <row r="430" spans="2:25" ht="15" x14ac:dyDescent="0.2"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</row>
    <row r="431" spans="2:25" ht="15" x14ac:dyDescent="0.2"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</row>
    <row r="432" spans="2:25" ht="15" x14ac:dyDescent="0.2"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</row>
    <row r="433" spans="2:25" ht="15" x14ac:dyDescent="0.2"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</row>
    <row r="434" spans="2:25" ht="15" x14ac:dyDescent="0.2"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</row>
    <row r="435" spans="2:25" ht="15" x14ac:dyDescent="0.2"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</row>
    <row r="436" spans="2:25" ht="15" x14ac:dyDescent="0.2"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</row>
    <row r="437" spans="2:25" ht="15" x14ac:dyDescent="0.2"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</row>
    <row r="438" spans="2:25" ht="15" x14ac:dyDescent="0.2"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</row>
    <row r="439" spans="2:25" ht="15" x14ac:dyDescent="0.2"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</row>
    <row r="440" spans="2:25" ht="15" x14ac:dyDescent="0.2"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</row>
    <row r="441" spans="2:25" ht="15" x14ac:dyDescent="0.2"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</row>
    <row r="442" spans="2:25" ht="15" x14ac:dyDescent="0.2"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</row>
    <row r="443" spans="2:25" ht="15" x14ac:dyDescent="0.2"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</row>
    <row r="444" spans="2:25" ht="15" x14ac:dyDescent="0.2"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</row>
    <row r="445" spans="2:25" ht="15" x14ac:dyDescent="0.2"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</row>
    <row r="446" spans="2:25" ht="15" x14ac:dyDescent="0.2"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</row>
    <row r="447" spans="2:25" ht="15" x14ac:dyDescent="0.2"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</row>
    <row r="448" spans="2:25" ht="15" x14ac:dyDescent="0.2"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</row>
    <row r="449" spans="2:25" ht="15" x14ac:dyDescent="0.2"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</row>
    <row r="450" spans="2:25" ht="15" x14ac:dyDescent="0.2"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</row>
    <row r="451" spans="2:25" ht="15" x14ac:dyDescent="0.2"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</row>
    <row r="452" spans="2:25" ht="15" x14ac:dyDescent="0.2"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</row>
    <row r="453" spans="2:25" ht="15" x14ac:dyDescent="0.2"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</row>
    <row r="454" spans="2:25" ht="15" x14ac:dyDescent="0.2"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</row>
    <row r="455" spans="2:25" ht="15" x14ac:dyDescent="0.2"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</row>
    <row r="456" spans="2:25" ht="15" x14ac:dyDescent="0.2"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</row>
    <row r="457" spans="2:25" ht="15" x14ac:dyDescent="0.2"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</row>
    <row r="458" spans="2:25" ht="15" x14ac:dyDescent="0.2"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</row>
    <row r="459" spans="2:25" ht="15" x14ac:dyDescent="0.2"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</row>
    <row r="460" spans="2:25" ht="15" x14ac:dyDescent="0.2"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</row>
    <row r="461" spans="2:25" ht="15" x14ac:dyDescent="0.2"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</row>
    <row r="462" spans="2:25" ht="15" x14ac:dyDescent="0.2"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</row>
    <row r="463" spans="2:25" ht="15" x14ac:dyDescent="0.2"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</row>
    <row r="464" spans="2:25" ht="15" x14ac:dyDescent="0.2"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</row>
    <row r="465" spans="2:25" ht="15" x14ac:dyDescent="0.2"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</row>
    <row r="466" spans="2:25" ht="15" x14ac:dyDescent="0.2"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</row>
    <row r="467" spans="2:25" ht="15" x14ac:dyDescent="0.2"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</row>
    <row r="468" spans="2:25" ht="15" x14ac:dyDescent="0.2"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</row>
    <row r="469" spans="2:25" ht="15" x14ac:dyDescent="0.2"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</row>
    <row r="470" spans="2:25" ht="15" x14ac:dyDescent="0.2"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</row>
    <row r="471" spans="2:25" ht="15" x14ac:dyDescent="0.2"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</row>
    <row r="472" spans="2:25" ht="15" x14ac:dyDescent="0.2"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</row>
    <row r="473" spans="2:25" ht="15" x14ac:dyDescent="0.2"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</row>
    <row r="474" spans="2:25" ht="15" x14ac:dyDescent="0.2"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</row>
    <row r="475" spans="2:25" ht="15" x14ac:dyDescent="0.2"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</row>
    <row r="476" spans="2:25" ht="15" x14ac:dyDescent="0.2"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</row>
    <row r="477" spans="2:25" ht="15" x14ac:dyDescent="0.2"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</row>
    <row r="478" spans="2:25" ht="15" x14ac:dyDescent="0.2"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</row>
    <row r="479" spans="2:25" ht="15" x14ac:dyDescent="0.2"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</row>
    <row r="480" spans="2:25" ht="15" x14ac:dyDescent="0.2"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</row>
    <row r="481" spans="2:25" ht="15" x14ac:dyDescent="0.2"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</row>
    <row r="482" spans="2:25" ht="15" x14ac:dyDescent="0.2"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</row>
    <row r="483" spans="2:25" ht="15" x14ac:dyDescent="0.2"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</row>
    <row r="484" spans="2:25" ht="15" x14ac:dyDescent="0.2"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</row>
    <row r="485" spans="2:25" ht="15" x14ac:dyDescent="0.2"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</row>
    <row r="486" spans="2:25" ht="15" x14ac:dyDescent="0.2"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</row>
    <row r="487" spans="2:25" ht="15" x14ac:dyDescent="0.2"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</row>
    <row r="488" spans="2:25" ht="15" x14ac:dyDescent="0.2"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</row>
    <row r="489" spans="2:25" ht="15" x14ac:dyDescent="0.2"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</row>
    <row r="490" spans="2:25" ht="15" x14ac:dyDescent="0.2"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</row>
    <row r="491" spans="2:25" ht="15" x14ac:dyDescent="0.2"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</row>
    <row r="492" spans="2:25" ht="15" x14ac:dyDescent="0.2"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</row>
    <row r="493" spans="2:25" ht="15" x14ac:dyDescent="0.2"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</row>
    <row r="494" spans="2:25" ht="15" x14ac:dyDescent="0.2"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</row>
    <row r="495" spans="2:25" ht="15" x14ac:dyDescent="0.2"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</row>
    <row r="496" spans="2:25" ht="15" x14ac:dyDescent="0.2"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</row>
    <row r="497" spans="2:25" ht="15" x14ac:dyDescent="0.2"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</row>
    <row r="498" spans="2:25" ht="15" x14ac:dyDescent="0.2"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</row>
    <row r="499" spans="2:25" ht="15" x14ac:dyDescent="0.2"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</row>
    <row r="500" spans="2:25" ht="15" x14ac:dyDescent="0.2"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</row>
    <row r="501" spans="2:25" ht="15" x14ac:dyDescent="0.2"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</row>
    <row r="502" spans="2:25" ht="15" x14ac:dyDescent="0.2"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</row>
    <row r="503" spans="2:25" ht="15" x14ac:dyDescent="0.2"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</row>
    <row r="504" spans="2:25" ht="15" x14ac:dyDescent="0.2"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</row>
    <row r="505" spans="2:25" ht="15" x14ac:dyDescent="0.2"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</row>
    <row r="506" spans="2:25" ht="15" x14ac:dyDescent="0.2"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</row>
    <row r="507" spans="2:25" ht="15" x14ac:dyDescent="0.2"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</row>
    <row r="508" spans="2:25" ht="15" x14ac:dyDescent="0.2"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</row>
    <row r="509" spans="2:25" ht="15" x14ac:dyDescent="0.2"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</row>
    <row r="510" spans="2:25" ht="15" x14ac:dyDescent="0.2"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</row>
    <row r="511" spans="2:25" ht="15" x14ac:dyDescent="0.2"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</row>
    <row r="512" spans="2:25" ht="15" x14ac:dyDescent="0.2"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</row>
    <row r="513" spans="2:25" ht="15" x14ac:dyDescent="0.2"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</row>
    <row r="514" spans="2:25" ht="15" x14ac:dyDescent="0.2"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</row>
    <row r="515" spans="2:25" ht="15" x14ac:dyDescent="0.2"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</row>
    <row r="516" spans="2:25" ht="15" x14ac:dyDescent="0.2"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</row>
    <row r="517" spans="2:25" ht="15" x14ac:dyDescent="0.2"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</row>
    <row r="518" spans="2:25" ht="15" x14ac:dyDescent="0.2"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</row>
    <row r="519" spans="2:25" ht="15" x14ac:dyDescent="0.2"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</row>
    <row r="520" spans="2:25" ht="15" x14ac:dyDescent="0.2"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</row>
    <row r="521" spans="2:25" ht="15" x14ac:dyDescent="0.2"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</row>
    <row r="522" spans="2:25" ht="15" x14ac:dyDescent="0.2"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</row>
    <row r="523" spans="2:25" ht="15" x14ac:dyDescent="0.2"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</row>
    <row r="524" spans="2:25" ht="15" x14ac:dyDescent="0.2"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</row>
    <row r="525" spans="2:25" ht="15" x14ac:dyDescent="0.2"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</row>
    <row r="526" spans="2:25" ht="15" x14ac:dyDescent="0.2"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</row>
    <row r="527" spans="2:25" ht="15" x14ac:dyDescent="0.2"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</row>
    <row r="528" spans="2:25" ht="15" x14ac:dyDescent="0.2"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</row>
    <row r="529" spans="2:25" ht="15" x14ac:dyDescent="0.2"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</row>
    <row r="530" spans="2:25" ht="15" x14ac:dyDescent="0.2"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</row>
    <row r="531" spans="2:25" ht="15" x14ac:dyDescent="0.2"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</row>
    <row r="532" spans="2:25" ht="15" x14ac:dyDescent="0.2"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</row>
    <row r="533" spans="2:25" ht="15" x14ac:dyDescent="0.2"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</row>
    <row r="534" spans="2:25" ht="15" x14ac:dyDescent="0.2"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</row>
    <row r="535" spans="2:25" ht="15" x14ac:dyDescent="0.2"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</row>
    <row r="536" spans="2:25" ht="15" x14ac:dyDescent="0.2"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</row>
    <row r="537" spans="2:25" ht="15" x14ac:dyDescent="0.2"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</row>
    <row r="538" spans="2:25" ht="15" x14ac:dyDescent="0.2"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</row>
    <row r="539" spans="2:25" ht="15" x14ac:dyDescent="0.2"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</row>
    <row r="540" spans="2:25" ht="15" x14ac:dyDescent="0.2"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</row>
    <row r="541" spans="2:25" ht="15" x14ac:dyDescent="0.2"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</row>
    <row r="542" spans="2:25" ht="15" x14ac:dyDescent="0.2"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</row>
    <row r="543" spans="2:25" ht="15" x14ac:dyDescent="0.2"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</row>
    <row r="544" spans="2:25" ht="15" x14ac:dyDescent="0.2"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</row>
    <row r="545" spans="2:25" ht="15" x14ac:dyDescent="0.2"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</row>
    <row r="546" spans="2:25" ht="15" x14ac:dyDescent="0.2"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</row>
    <row r="547" spans="2:25" ht="15" x14ac:dyDescent="0.2"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</row>
    <row r="548" spans="2:25" ht="15" x14ac:dyDescent="0.2"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</row>
    <row r="549" spans="2:25" ht="15" x14ac:dyDescent="0.2"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</row>
    <row r="550" spans="2:25" ht="15" x14ac:dyDescent="0.2"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</row>
    <row r="551" spans="2:25" ht="15" x14ac:dyDescent="0.2"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</row>
    <row r="552" spans="2:25" ht="15" x14ac:dyDescent="0.2"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</row>
    <row r="553" spans="2:25" ht="15" x14ac:dyDescent="0.2"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</row>
    <row r="554" spans="2:25" ht="15" x14ac:dyDescent="0.2"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</row>
    <row r="555" spans="2:25" ht="15" x14ac:dyDescent="0.2"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</row>
    <row r="556" spans="2:25" ht="15" x14ac:dyDescent="0.2"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</row>
    <row r="557" spans="2:25" ht="15" x14ac:dyDescent="0.2"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</row>
    <row r="558" spans="2:25" ht="15" x14ac:dyDescent="0.2"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</row>
    <row r="559" spans="2:25" ht="15" x14ac:dyDescent="0.2"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</row>
    <row r="560" spans="2:25" ht="15" x14ac:dyDescent="0.2"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</row>
    <row r="561" spans="2:25" ht="15" x14ac:dyDescent="0.2"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</row>
    <row r="562" spans="2:25" ht="15" x14ac:dyDescent="0.2"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</row>
    <row r="563" spans="2:25" ht="15" x14ac:dyDescent="0.2"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</row>
    <row r="564" spans="2:25" ht="15" x14ac:dyDescent="0.2"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</row>
    <row r="565" spans="2:25" ht="15" x14ac:dyDescent="0.2"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</row>
    <row r="566" spans="2:25" ht="15" x14ac:dyDescent="0.2"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</row>
    <row r="567" spans="2:25" ht="15" x14ac:dyDescent="0.2"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</row>
    <row r="568" spans="2:25" ht="15" x14ac:dyDescent="0.2"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</row>
    <row r="569" spans="2:25" ht="15" x14ac:dyDescent="0.2"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</row>
    <row r="570" spans="2:25" ht="15" x14ac:dyDescent="0.2"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</row>
    <row r="571" spans="2:25" ht="15" x14ac:dyDescent="0.2"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</row>
    <row r="572" spans="2:25" ht="15" x14ac:dyDescent="0.2"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</row>
    <row r="573" spans="2:25" ht="15" x14ac:dyDescent="0.2"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</row>
    <row r="574" spans="2:25" ht="15" x14ac:dyDescent="0.2"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</row>
    <row r="575" spans="2:25" ht="15" x14ac:dyDescent="0.2"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</row>
    <row r="576" spans="2:25" ht="15" x14ac:dyDescent="0.2"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</row>
    <row r="577" spans="2:25" ht="15" x14ac:dyDescent="0.2"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</row>
    <row r="578" spans="2:25" ht="15" x14ac:dyDescent="0.2"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</row>
    <row r="579" spans="2:25" ht="15" x14ac:dyDescent="0.2"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</row>
    <row r="580" spans="2:25" ht="15" x14ac:dyDescent="0.2"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</row>
    <row r="581" spans="2:25" ht="15" x14ac:dyDescent="0.2"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</row>
    <row r="582" spans="2:25" ht="15" x14ac:dyDescent="0.2"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</row>
    <row r="583" spans="2:25" ht="15" x14ac:dyDescent="0.2"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</row>
    <row r="584" spans="2:25" ht="15" x14ac:dyDescent="0.2"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</row>
    <row r="585" spans="2:25" ht="15" x14ac:dyDescent="0.2"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</row>
    <row r="586" spans="2:25" ht="15" x14ac:dyDescent="0.2"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</row>
    <row r="587" spans="2:25" ht="15" x14ac:dyDescent="0.2"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</row>
    <row r="588" spans="2:25" ht="15" x14ac:dyDescent="0.2"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</row>
    <row r="589" spans="2:25" ht="15" x14ac:dyDescent="0.2"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</row>
    <row r="590" spans="2:25" ht="15" x14ac:dyDescent="0.2"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</row>
    <row r="591" spans="2:25" ht="15" x14ac:dyDescent="0.2"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</row>
    <row r="592" spans="2:25" ht="15" x14ac:dyDescent="0.2"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</row>
    <row r="593" spans="2:25" ht="15" x14ac:dyDescent="0.2"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</row>
    <row r="594" spans="2:25" ht="15" x14ac:dyDescent="0.2"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</row>
    <row r="595" spans="2:25" ht="15" x14ac:dyDescent="0.2"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</row>
    <row r="596" spans="2:25" ht="15" x14ac:dyDescent="0.2"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</row>
    <row r="597" spans="2:25" ht="15" x14ac:dyDescent="0.2"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</row>
    <row r="598" spans="2:25" ht="15" x14ac:dyDescent="0.2"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</row>
    <row r="599" spans="2:25" ht="15" x14ac:dyDescent="0.2"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</row>
    <row r="600" spans="2:25" ht="15" x14ac:dyDescent="0.2"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</row>
    <row r="601" spans="2:25" ht="15" x14ac:dyDescent="0.2"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</row>
    <row r="602" spans="2:25" ht="15" x14ac:dyDescent="0.2"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</row>
    <row r="603" spans="2:25" ht="15" x14ac:dyDescent="0.2"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</row>
    <row r="604" spans="2:25" ht="15" x14ac:dyDescent="0.2"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</row>
    <row r="605" spans="2:25" ht="15" x14ac:dyDescent="0.2"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</row>
    <row r="606" spans="2:25" ht="15" x14ac:dyDescent="0.2"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</row>
    <row r="607" spans="2:25" ht="15" x14ac:dyDescent="0.2"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</row>
    <row r="608" spans="2:25" ht="15" x14ac:dyDescent="0.2"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</row>
    <row r="609" spans="2:25" ht="15" x14ac:dyDescent="0.2"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</row>
    <row r="610" spans="2:25" ht="15" x14ac:dyDescent="0.2"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</row>
    <row r="611" spans="2:25" ht="15" x14ac:dyDescent="0.2"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</row>
    <row r="612" spans="2:25" ht="15" x14ac:dyDescent="0.2"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</row>
    <row r="613" spans="2:25" ht="15" x14ac:dyDescent="0.2"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</row>
    <row r="614" spans="2:25" ht="15" x14ac:dyDescent="0.2"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</row>
    <row r="615" spans="2:25" ht="15" x14ac:dyDescent="0.2"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</row>
    <row r="616" spans="2:25" ht="15" x14ac:dyDescent="0.2"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</row>
    <row r="617" spans="2:25" ht="15" x14ac:dyDescent="0.2"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</row>
    <row r="618" spans="2:25" ht="15" x14ac:dyDescent="0.2"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</row>
    <row r="619" spans="2:25" ht="15" x14ac:dyDescent="0.2"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</row>
    <row r="620" spans="2:25" ht="15" x14ac:dyDescent="0.2"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</row>
    <row r="621" spans="2:25" ht="15" x14ac:dyDescent="0.2"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</row>
    <row r="622" spans="2:25" ht="15" x14ac:dyDescent="0.2"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</row>
    <row r="623" spans="2:25" ht="15" x14ac:dyDescent="0.2"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</row>
    <row r="624" spans="2:25" ht="15" x14ac:dyDescent="0.2"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</row>
    <row r="625" spans="2:25" ht="15" x14ac:dyDescent="0.2"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</row>
    <row r="626" spans="2:25" ht="15" x14ac:dyDescent="0.2"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</row>
    <row r="627" spans="2:25" ht="15" x14ac:dyDescent="0.2"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</row>
    <row r="628" spans="2:25" ht="15" x14ac:dyDescent="0.2"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</row>
    <row r="629" spans="2:25" ht="15" x14ac:dyDescent="0.2"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</row>
    <row r="630" spans="2:25" ht="15" x14ac:dyDescent="0.2"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</row>
    <row r="631" spans="2:25" ht="15" x14ac:dyDescent="0.2"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</row>
    <row r="632" spans="2:25" ht="15" x14ac:dyDescent="0.2"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</row>
    <row r="633" spans="2:25" ht="15" x14ac:dyDescent="0.2"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</row>
    <row r="634" spans="2:25" ht="15" x14ac:dyDescent="0.2"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</row>
    <row r="635" spans="2:25" ht="15" x14ac:dyDescent="0.2"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</row>
    <row r="636" spans="2:25" ht="15" x14ac:dyDescent="0.2"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</row>
    <row r="637" spans="2:25" ht="15" x14ac:dyDescent="0.2"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</row>
    <row r="638" spans="2:25" ht="15" x14ac:dyDescent="0.2"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</row>
    <row r="639" spans="2:25" ht="15" x14ac:dyDescent="0.2"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</row>
    <row r="640" spans="2:25" ht="15" x14ac:dyDescent="0.2"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</row>
    <row r="641" spans="2:25" ht="15" x14ac:dyDescent="0.2"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</row>
    <row r="642" spans="2:25" ht="15" x14ac:dyDescent="0.2"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</row>
    <row r="643" spans="2:25" ht="15" x14ac:dyDescent="0.2"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</row>
    <row r="644" spans="2:25" ht="15" x14ac:dyDescent="0.2"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</row>
    <row r="645" spans="2:25" ht="15" x14ac:dyDescent="0.2"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</row>
    <row r="646" spans="2:25" ht="15" x14ac:dyDescent="0.2"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</row>
    <row r="647" spans="2:25" ht="15" x14ac:dyDescent="0.2"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</row>
    <row r="648" spans="2:25" ht="15" x14ac:dyDescent="0.2"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</row>
    <row r="649" spans="2:25" ht="15" x14ac:dyDescent="0.2"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</row>
    <row r="650" spans="2:25" ht="15" x14ac:dyDescent="0.2"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</row>
    <row r="651" spans="2:25" ht="15" x14ac:dyDescent="0.2"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</row>
    <row r="652" spans="2:25" ht="15" x14ac:dyDescent="0.2"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</row>
    <row r="653" spans="2:25" ht="15" x14ac:dyDescent="0.2"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</row>
    <row r="654" spans="2:25" ht="15" x14ac:dyDescent="0.2"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</row>
    <row r="655" spans="2:25" ht="15" x14ac:dyDescent="0.2"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</row>
    <row r="656" spans="2:25" ht="15" x14ac:dyDescent="0.2"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</row>
    <row r="657" spans="2:25" ht="15" x14ac:dyDescent="0.2"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</row>
    <row r="658" spans="2:25" ht="15" x14ac:dyDescent="0.2"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</row>
    <row r="659" spans="2:25" ht="15" x14ac:dyDescent="0.2"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</row>
    <row r="660" spans="2:25" ht="15" x14ac:dyDescent="0.2"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</row>
    <row r="661" spans="2:25" ht="15" x14ac:dyDescent="0.2"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</row>
    <row r="662" spans="2:25" ht="15" x14ac:dyDescent="0.2"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</row>
    <row r="663" spans="2:25" ht="15" x14ac:dyDescent="0.2"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</row>
    <row r="664" spans="2:25" ht="15" x14ac:dyDescent="0.2"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</row>
    <row r="665" spans="2:25" ht="15" x14ac:dyDescent="0.2"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</row>
    <row r="666" spans="2:25" ht="15" x14ac:dyDescent="0.2"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</row>
    <row r="667" spans="2:25" ht="15" x14ac:dyDescent="0.2"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</row>
    <row r="668" spans="2:25" ht="15" x14ac:dyDescent="0.2"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</row>
    <row r="669" spans="2:25" ht="15" x14ac:dyDescent="0.2"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</row>
    <row r="670" spans="2:25" ht="15" x14ac:dyDescent="0.2"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</row>
    <row r="671" spans="2:25" ht="15" x14ac:dyDescent="0.2"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</row>
    <row r="672" spans="2:25" ht="15" x14ac:dyDescent="0.2"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</row>
    <row r="673" spans="2:25" ht="15" x14ac:dyDescent="0.2"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</row>
    <row r="674" spans="2:25" ht="15" x14ac:dyDescent="0.2"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</row>
    <row r="675" spans="2:25" ht="15" x14ac:dyDescent="0.2"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</row>
    <row r="676" spans="2:25" ht="15" x14ac:dyDescent="0.2"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</row>
    <row r="677" spans="2:25" ht="15" x14ac:dyDescent="0.2"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</row>
    <row r="678" spans="2:25" ht="15" x14ac:dyDescent="0.2"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</row>
    <row r="679" spans="2:25" ht="15" x14ac:dyDescent="0.2"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</row>
    <row r="680" spans="2:25" ht="15" x14ac:dyDescent="0.2"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</row>
    <row r="681" spans="2:25" ht="15" x14ac:dyDescent="0.2"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</row>
    <row r="682" spans="2:25" ht="15" x14ac:dyDescent="0.2"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</row>
    <row r="683" spans="2:25" ht="15" x14ac:dyDescent="0.2"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</row>
    <row r="684" spans="2:25" ht="15" x14ac:dyDescent="0.2"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</row>
    <row r="685" spans="2:25" ht="15" x14ac:dyDescent="0.2"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</row>
    <row r="686" spans="2:25" ht="15" x14ac:dyDescent="0.2"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</row>
    <row r="687" spans="2:25" ht="15" x14ac:dyDescent="0.2"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</row>
    <row r="688" spans="2:25" ht="15" x14ac:dyDescent="0.2"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</row>
    <row r="689" spans="2:25" ht="15" x14ac:dyDescent="0.2"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</row>
    <row r="690" spans="2:25" ht="15" x14ac:dyDescent="0.2"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</row>
    <row r="691" spans="2:25" ht="15" x14ac:dyDescent="0.2"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</row>
    <row r="692" spans="2:25" ht="15" x14ac:dyDescent="0.2"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</row>
    <row r="693" spans="2:25" ht="15" x14ac:dyDescent="0.2"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</row>
    <row r="694" spans="2:25" ht="15" x14ac:dyDescent="0.2"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</row>
    <row r="695" spans="2:25" ht="15" x14ac:dyDescent="0.2"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</row>
    <row r="696" spans="2:25" ht="15" x14ac:dyDescent="0.2"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</row>
    <row r="697" spans="2:25" ht="15" x14ac:dyDescent="0.2"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</row>
    <row r="698" spans="2:25" ht="15" x14ac:dyDescent="0.2"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</row>
    <row r="699" spans="2:25" ht="15" x14ac:dyDescent="0.2"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</row>
    <row r="700" spans="2:25" ht="15" x14ac:dyDescent="0.2"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</row>
    <row r="701" spans="2:25" ht="15" x14ac:dyDescent="0.2"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</row>
    <row r="702" spans="2:25" ht="15" x14ac:dyDescent="0.2"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</row>
    <row r="703" spans="2:25" ht="15" x14ac:dyDescent="0.2"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</row>
    <row r="704" spans="2:25" ht="15" x14ac:dyDescent="0.2"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</row>
    <row r="705" spans="2:25" ht="15" x14ac:dyDescent="0.2"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</row>
    <row r="706" spans="2:25" ht="15" x14ac:dyDescent="0.2"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</row>
    <row r="707" spans="2:25" ht="15" x14ac:dyDescent="0.2"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</row>
    <row r="708" spans="2:25" ht="15" x14ac:dyDescent="0.2"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</row>
    <row r="709" spans="2:25" ht="15" x14ac:dyDescent="0.2"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</row>
    <row r="710" spans="2:25" ht="15" x14ac:dyDescent="0.2"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</row>
    <row r="711" spans="2:25" ht="15" x14ac:dyDescent="0.2"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</row>
    <row r="712" spans="2:25" ht="15" x14ac:dyDescent="0.2"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</row>
    <row r="713" spans="2:25" ht="15" x14ac:dyDescent="0.2"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</row>
    <row r="714" spans="2:25" ht="15" x14ac:dyDescent="0.2"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</row>
    <row r="715" spans="2:25" ht="15" x14ac:dyDescent="0.2"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</row>
    <row r="716" spans="2:25" ht="15" x14ac:dyDescent="0.2"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</row>
    <row r="717" spans="2:25" ht="15" x14ac:dyDescent="0.2"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</row>
    <row r="718" spans="2:25" ht="15" x14ac:dyDescent="0.2"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</row>
    <row r="719" spans="2:25" ht="15" x14ac:dyDescent="0.2"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</row>
    <row r="720" spans="2:25" ht="15" x14ac:dyDescent="0.2"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</row>
    <row r="721" spans="2:25" ht="15" x14ac:dyDescent="0.2"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</row>
    <row r="722" spans="2:25" ht="15" x14ac:dyDescent="0.2"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</row>
    <row r="723" spans="2:25" ht="15" x14ac:dyDescent="0.2"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</row>
    <row r="724" spans="2:25" ht="15" x14ac:dyDescent="0.2"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</row>
    <row r="725" spans="2:25" ht="15" x14ac:dyDescent="0.2"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</row>
    <row r="726" spans="2:25" ht="15" x14ac:dyDescent="0.2"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</row>
    <row r="727" spans="2:25" ht="15" x14ac:dyDescent="0.2"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</row>
    <row r="728" spans="2:25" ht="15" x14ac:dyDescent="0.2"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</row>
    <row r="729" spans="2:25" ht="15" x14ac:dyDescent="0.2"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</row>
    <row r="730" spans="2:25" ht="15" x14ac:dyDescent="0.2"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</row>
    <row r="731" spans="2:25" ht="15" x14ac:dyDescent="0.2"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</row>
    <row r="732" spans="2:25" ht="15" x14ac:dyDescent="0.2"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</row>
    <row r="733" spans="2:25" ht="15" x14ac:dyDescent="0.2"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</row>
    <row r="734" spans="2:25" ht="15" x14ac:dyDescent="0.2"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</row>
    <row r="735" spans="2:25" ht="15" x14ac:dyDescent="0.2"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</row>
    <row r="736" spans="2:25" ht="15" x14ac:dyDescent="0.2"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</row>
    <row r="737" spans="2:25" ht="15" x14ac:dyDescent="0.2"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</row>
    <row r="738" spans="2:25" ht="15" x14ac:dyDescent="0.2"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</row>
    <row r="739" spans="2:25" ht="15" x14ac:dyDescent="0.2"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</row>
    <row r="740" spans="2:25" ht="15" x14ac:dyDescent="0.2"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</row>
    <row r="741" spans="2:25" ht="15" x14ac:dyDescent="0.2"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</row>
    <row r="742" spans="2:25" ht="15" x14ac:dyDescent="0.2"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</row>
    <row r="743" spans="2:25" ht="15" x14ac:dyDescent="0.2"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</row>
    <row r="744" spans="2:25" ht="15" x14ac:dyDescent="0.2"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</row>
    <row r="745" spans="2:25" ht="15" x14ac:dyDescent="0.2"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</row>
    <row r="746" spans="2:25" ht="15" x14ac:dyDescent="0.2"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</row>
    <row r="747" spans="2:25" ht="15" x14ac:dyDescent="0.2"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</row>
    <row r="748" spans="2:25" ht="15" x14ac:dyDescent="0.2"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</row>
    <row r="749" spans="2:25" ht="15" x14ac:dyDescent="0.2"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</row>
    <row r="750" spans="2:25" ht="15" x14ac:dyDescent="0.2"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</row>
    <row r="751" spans="2:25" ht="15" x14ac:dyDescent="0.2"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</row>
    <row r="752" spans="2:25" ht="15" x14ac:dyDescent="0.2"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</row>
    <row r="753" spans="2:25" ht="15" x14ac:dyDescent="0.2"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</row>
    <row r="754" spans="2:25" ht="15" x14ac:dyDescent="0.2"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</row>
    <row r="755" spans="2:25" ht="15" x14ac:dyDescent="0.2"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</row>
    <row r="756" spans="2:25" ht="15" x14ac:dyDescent="0.2"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</row>
    <row r="757" spans="2:25" ht="15" x14ac:dyDescent="0.2"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</row>
    <row r="758" spans="2:25" ht="15" x14ac:dyDescent="0.2"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</row>
    <row r="759" spans="2:25" ht="15" x14ac:dyDescent="0.2"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</row>
    <row r="760" spans="2:25" ht="15" x14ac:dyDescent="0.2"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</row>
    <row r="761" spans="2:25" ht="15" x14ac:dyDescent="0.2"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</row>
    <row r="762" spans="2:25" ht="15" x14ac:dyDescent="0.2"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</row>
    <row r="763" spans="2:25" ht="15" x14ac:dyDescent="0.2"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</row>
    <row r="764" spans="2:25" ht="15" x14ac:dyDescent="0.2"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</row>
    <row r="765" spans="2:25" ht="15" x14ac:dyDescent="0.2"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</row>
    <row r="766" spans="2:25" ht="15" x14ac:dyDescent="0.2"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</row>
    <row r="767" spans="2:25" ht="15" x14ac:dyDescent="0.2"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</row>
    <row r="768" spans="2:25" ht="15" x14ac:dyDescent="0.2"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</row>
    <row r="769" spans="2:25" ht="15" x14ac:dyDescent="0.2"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</row>
    <row r="770" spans="2:25" ht="15" x14ac:dyDescent="0.2"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</row>
    <row r="771" spans="2:25" ht="15" x14ac:dyDescent="0.2"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</row>
    <row r="772" spans="2:25" ht="15" x14ac:dyDescent="0.2"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</row>
    <row r="773" spans="2:25" ht="15" x14ac:dyDescent="0.2"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</row>
    <row r="774" spans="2:25" ht="15" x14ac:dyDescent="0.2"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</row>
    <row r="775" spans="2:25" ht="15" x14ac:dyDescent="0.2"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</row>
    <row r="776" spans="2:25" ht="15" x14ac:dyDescent="0.2"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</row>
    <row r="777" spans="2:25" ht="15" x14ac:dyDescent="0.2"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</row>
    <row r="778" spans="2:25" ht="15" x14ac:dyDescent="0.2"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</row>
    <row r="779" spans="2:25" ht="15" x14ac:dyDescent="0.2"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</row>
    <row r="780" spans="2:25" ht="15" x14ac:dyDescent="0.2"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</row>
    <row r="781" spans="2:25" ht="15" x14ac:dyDescent="0.2"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</row>
    <row r="782" spans="2:25" ht="15" x14ac:dyDescent="0.2"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</row>
    <row r="783" spans="2:25" ht="15" x14ac:dyDescent="0.2"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</row>
    <row r="784" spans="2:25" ht="15" x14ac:dyDescent="0.2"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</row>
    <row r="785" spans="2:25" ht="15" x14ac:dyDescent="0.2"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</row>
    <row r="786" spans="2:25" ht="15" x14ac:dyDescent="0.2"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</row>
    <row r="787" spans="2:25" ht="15" x14ac:dyDescent="0.2"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</row>
    <row r="788" spans="2:25" ht="15" x14ac:dyDescent="0.2"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</row>
    <row r="789" spans="2:25" ht="15" x14ac:dyDescent="0.2"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</row>
    <row r="790" spans="2:25" ht="15" x14ac:dyDescent="0.2"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</row>
    <row r="791" spans="2:25" ht="15" x14ac:dyDescent="0.2"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</row>
    <row r="792" spans="2:25" ht="15" x14ac:dyDescent="0.2"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</row>
    <row r="793" spans="2:25" ht="15" x14ac:dyDescent="0.2"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</row>
    <row r="794" spans="2:25" ht="15" x14ac:dyDescent="0.2"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</row>
    <row r="795" spans="2:25" ht="15" x14ac:dyDescent="0.2"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</row>
    <row r="796" spans="2:25" ht="15" x14ac:dyDescent="0.2"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</row>
    <row r="797" spans="2:25" ht="15" x14ac:dyDescent="0.2"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</row>
    <row r="798" spans="2:25" ht="15" x14ac:dyDescent="0.2"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</row>
    <row r="799" spans="2:25" ht="15" x14ac:dyDescent="0.2"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</row>
    <row r="800" spans="2:25" ht="15" x14ac:dyDescent="0.2"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</row>
    <row r="801" spans="2:25" ht="15" x14ac:dyDescent="0.2"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</row>
    <row r="802" spans="2:25" ht="15" x14ac:dyDescent="0.2"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</row>
    <row r="803" spans="2:25" ht="15" x14ac:dyDescent="0.2"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</row>
    <row r="804" spans="2:25" ht="15" x14ac:dyDescent="0.2"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</row>
    <row r="805" spans="2:25" ht="15" x14ac:dyDescent="0.2"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</row>
    <row r="806" spans="2:25" ht="15" x14ac:dyDescent="0.2"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</row>
    <row r="807" spans="2:25" ht="15" x14ac:dyDescent="0.2"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</row>
    <row r="808" spans="2:25" ht="15" x14ac:dyDescent="0.2"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</row>
    <row r="809" spans="2:25" ht="15" x14ac:dyDescent="0.2"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</row>
    <row r="810" spans="2:25" ht="15" x14ac:dyDescent="0.2"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</row>
    <row r="811" spans="2:25" ht="15" x14ac:dyDescent="0.2"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</row>
    <row r="812" spans="2:25" ht="15" x14ac:dyDescent="0.2"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</row>
    <row r="813" spans="2:25" ht="15" x14ac:dyDescent="0.2"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</row>
    <row r="814" spans="2:25" ht="15" x14ac:dyDescent="0.2"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</row>
    <row r="815" spans="2:25" ht="15" x14ac:dyDescent="0.2"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</row>
    <row r="816" spans="2:25" ht="15" x14ac:dyDescent="0.2"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</row>
    <row r="817" spans="2:25" ht="15" x14ac:dyDescent="0.2"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</row>
    <row r="818" spans="2:25" ht="15" x14ac:dyDescent="0.2"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</row>
    <row r="819" spans="2:25" ht="15" x14ac:dyDescent="0.2"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</row>
    <row r="820" spans="2:25" ht="15" x14ac:dyDescent="0.2"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</row>
    <row r="821" spans="2:25" ht="15" x14ac:dyDescent="0.2"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</row>
    <row r="822" spans="2:25" ht="15" x14ac:dyDescent="0.2"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</row>
    <row r="823" spans="2:25" ht="15" x14ac:dyDescent="0.2"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</row>
    <row r="824" spans="2:25" ht="15" x14ac:dyDescent="0.2"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</row>
    <row r="825" spans="2:25" ht="15" x14ac:dyDescent="0.2"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</row>
    <row r="826" spans="2:25" ht="15" x14ac:dyDescent="0.2"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</row>
    <row r="827" spans="2:25" ht="15" x14ac:dyDescent="0.2"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</row>
    <row r="828" spans="2:25" ht="15" x14ac:dyDescent="0.2"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</row>
    <row r="829" spans="2:25" ht="15" x14ac:dyDescent="0.2"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</row>
    <row r="830" spans="2:25" ht="15" x14ac:dyDescent="0.2"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</row>
    <row r="831" spans="2:25" ht="15" x14ac:dyDescent="0.2"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</row>
    <row r="832" spans="2:25" ht="15" x14ac:dyDescent="0.2"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</row>
    <row r="833" spans="2:25" ht="15" x14ac:dyDescent="0.2"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</row>
    <row r="834" spans="2:25" ht="15" x14ac:dyDescent="0.2"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</row>
    <row r="835" spans="2:25" ht="15" x14ac:dyDescent="0.2"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</row>
    <row r="836" spans="2:25" ht="15" x14ac:dyDescent="0.2"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</row>
    <row r="837" spans="2:25" ht="15" x14ac:dyDescent="0.2"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</row>
    <row r="838" spans="2:25" ht="15" x14ac:dyDescent="0.2"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</row>
    <row r="839" spans="2:25" ht="15" x14ac:dyDescent="0.2"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</row>
    <row r="840" spans="2:25" ht="15" x14ac:dyDescent="0.2"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</row>
    <row r="841" spans="2:25" ht="15" x14ac:dyDescent="0.2"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</row>
    <row r="842" spans="2:25" ht="15" x14ac:dyDescent="0.2"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</row>
    <row r="843" spans="2:25" ht="15" x14ac:dyDescent="0.2"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</row>
    <row r="844" spans="2:25" ht="15" x14ac:dyDescent="0.2"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</row>
    <row r="845" spans="2:25" ht="15" x14ac:dyDescent="0.2"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</row>
    <row r="846" spans="2:25" ht="15" x14ac:dyDescent="0.2"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</row>
    <row r="847" spans="2:25" ht="15" x14ac:dyDescent="0.2"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</row>
    <row r="848" spans="2:25" ht="15" x14ac:dyDescent="0.2"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</row>
    <row r="849" spans="2:25" ht="15" x14ac:dyDescent="0.2"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</row>
    <row r="850" spans="2:25" ht="15" x14ac:dyDescent="0.2"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</row>
    <row r="851" spans="2:25" ht="15" x14ac:dyDescent="0.2"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</row>
    <row r="852" spans="2:25" ht="15" x14ac:dyDescent="0.2"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</row>
    <row r="853" spans="2:25" ht="15" x14ac:dyDescent="0.2"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</row>
    <row r="854" spans="2:25" ht="15" x14ac:dyDescent="0.2"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</row>
    <row r="855" spans="2:25" ht="15" x14ac:dyDescent="0.2"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</row>
    <row r="856" spans="2:25" ht="15" x14ac:dyDescent="0.2"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</row>
    <row r="857" spans="2:25" ht="15" x14ac:dyDescent="0.2"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</row>
    <row r="858" spans="2:25" ht="15" x14ac:dyDescent="0.2"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</row>
    <row r="859" spans="2:25" ht="15" x14ac:dyDescent="0.2"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</row>
    <row r="860" spans="2:25" ht="15" x14ac:dyDescent="0.2"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</row>
    <row r="861" spans="2:25" ht="15" x14ac:dyDescent="0.2"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</row>
    <row r="862" spans="2:25" ht="15" x14ac:dyDescent="0.2"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</row>
    <row r="863" spans="2:25" ht="15" x14ac:dyDescent="0.2"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</row>
    <row r="864" spans="2:25" ht="15" x14ac:dyDescent="0.2"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</row>
    <row r="865" spans="2:25" ht="15" x14ac:dyDescent="0.2"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</row>
    <row r="866" spans="2:25" ht="15" x14ac:dyDescent="0.2"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</row>
    <row r="867" spans="2:25" ht="15" x14ac:dyDescent="0.2"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</row>
    <row r="868" spans="2:25" ht="15" x14ac:dyDescent="0.2"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</row>
    <row r="869" spans="2:25" ht="15" x14ac:dyDescent="0.2"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</row>
    <row r="870" spans="2:25" ht="15" x14ac:dyDescent="0.2"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</row>
    <row r="871" spans="2:25" ht="15" x14ac:dyDescent="0.2"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</row>
    <row r="872" spans="2:25" ht="15" x14ac:dyDescent="0.2"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</row>
    <row r="873" spans="2:25" ht="15" x14ac:dyDescent="0.2"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</row>
    <row r="874" spans="2:25" ht="15" x14ac:dyDescent="0.2"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</row>
    <row r="875" spans="2:25" ht="15" x14ac:dyDescent="0.2"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</row>
    <row r="876" spans="2:25" ht="15" x14ac:dyDescent="0.2"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</row>
    <row r="877" spans="2:25" ht="15" x14ac:dyDescent="0.2"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</row>
    <row r="878" spans="2:25" ht="15" x14ac:dyDescent="0.2"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</row>
    <row r="879" spans="2:25" ht="15" x14ac:dyDescent="0.2"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</row>
    <row r="880" spans="2:25" ht="15" x14ac:dyDescent="0.2"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</row>
    <row r="881" spans="2:25" ht="15" x14ac:dyDescent="0.2"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</row>
    <row r="882" spans="2:25" ht="15" x14ac:dyDescent="0.2"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</row>
    <row r="883" spans="2:25" ht="15" x14ac:dyDescent="0.2"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</row>
    <row r="884" spans="2:25" ht="15" x14ac:dyDescent="0.2"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</row>
    <row r="885" spans="2:25" ht="15" x14ac:dyDescent="0.2"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</row>
    <row r="886" spans="2:25" ht="15" x14ac:dyDescent="0.2"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</row>
    <row r="887" spans="2:25" ht="15" x14ac:dyDescent="0.2"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</row>
    <row r="888" spans="2:25" ht="15" x14ac:dyDescent="0.2"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</row>
    <row r="889" spans="2:25" ht="15" x14ac:dyDescent="0.2"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</row>
    <row r="890" spans="2:25" ht="15" x14ac:dyDescent="0.2"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</row>
    <row r="891" spans="2:25" ht="15" x14ac:dyDescent="0.2"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</row>
    <row r="892" spans="2:25" ht="15" x14ac:dyDescent="0.2"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</row>
    <row r="893" spans="2:25" ht="15" x14ac:dyDescent="0.2"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</row>
    <row r="894" spans="2:25" ht="15" x14ac:dyDescent="0.2"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</row>
    <row r="895" spans="2:25" ht="15" x14ac:dyDescent="0.2"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</row>
    <row r="896" spans="2:25" ht="15" x14ac:dyDescent="0.2"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</row>
    <row r="897" spans="2:25" ht="15" x14ac:dyDescent="0.2"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</row>
    <row r="898" spans="2:25" ht="15" x14ac:dyDescent="0.2"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</row>
    <row r="899" spans="2:25" ht="15" x14ac:dyDescent="0.2"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</row>
    <row r="900" spans="2:25" ht="15" x14ac:dyDescent="0.2"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</row>
    <row r="901" spans="2:25" ht="15" x14ac:dyDescent="0.2"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</row>
    <row r="902" spans="2:25" ht="15" x14ac:dyDescent="0.2"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</row>
    <row r="903" spans="2:25" ht="15" x14ac:dyDescent="0.2"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</row>
    <row r="904" spans="2:25" ht="15" x14ac:dyDescent="0.2"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</row>
    <row r="905" spans="2:25" ht="15" x14ac:dyDescent="0.2"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</row>
    <row r="906" spans="2:25" ht="15" x14ac:dyDescent="0.2"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</row>
    <row r="907" spans="2:25" ht="15" x14ac:dyDescent="0.2"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</row>
    <row r="908" spans="2:25" ht="15" x14ac:dyDescent="0.2"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</row>
    <row r="909" spans="2:25" ht="15" x14ac:dyDescent="0.2"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</row>
    <row r="910" spans="2:25" ht="15" x14ac:dyDescent="0.2"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</row>
    <row r="911" spans="2:25" ht="15" x14ac:dyDescent="0.2"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</row>
    <row r="912" spans="2:25" ht="15" x14ac:dyDescent="0.2"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</row>
    <row r="913" spans="2:25" ht="15" x14ac:dyDescent="0.2"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</row>
    <row r="914" spans="2:25" ht="15" x14ac:dyDescent="0.2"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</row>
    <row r="915" spans="2:25" ht="15" x14ac:dyDescent="0.2"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</row>
    <row r="916" spans="2:25" ht="15" x14ac:dyDescent="0.2"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</row>
    <row r="917" spans="2:25" ht="15" x14ac:dyDescent="0.2"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</row>
    <row r="918" spans="2:25" ht="15" x14ac:dyDescent="0.2"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</row>
    <row r="919" spans="2:25" ht="15" x14ac:dyDescent="0.2"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</row>
    <row r="920" spans="2:25" ht="15" x14ac:dyDescent="0.2"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</row>
    <row r="921" spans="2:25" ht="15" x14ac:dyDescent="0.2"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</row>
    <row r="922" spans="2:25" ht="15" x14ac:dyDescent="0.2"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</row>
    <row r="923" spans="2:25" ht="15" x14ac:dyDescent="0.2"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</row>
    <row r="924" spans="2:25" ht="15" x14ac:dyDescent="0.2"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</row>
    <row r="925" spans="2:25" ht="15" x14ac:dyDescent="0.2"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</row>
    <row r="926" spans="2:25" ht="15" x14ac:dyDescent="0.2"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</row>
    <row r="927" spans="2:25" ht="15" x14ac:dyDescent="0.2"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</row>
    <row r="928" spans="2:25" ht="15" x14ac:dyDescent="0.2"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</row>
    <row r="929" spans="2:25" ht="15" x14ac:dyDescent="0.2"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</row>
    <row r="930" spans="2:25" ht="15" x14ac:dyDescent="0.2"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</row>
    <row r="931" spans="2:25" ht="15" x14ac:dyDescent="0.2"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</row>
    <row r="932" spans="2:25" ht="15" x14ac:dyDescent="0.2"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</row>
    <row r="933" spans="2:25" ht="15" x14ac:dyDescent="0.2"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</row>
    <row r="934" spans="2:25" ht="15" x14ac:dyDescent="0.2"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</row>
    <row r="935" spans="2:25" ht="15" x14ac:dyDescent="0.2"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</row>
    <row r="936" spans="2:25" ht="15" x14ac:dyDescent="0.2"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</row>
    <row r="937" spans="2:25" ht="15" x14ac:dyDescent="0.2"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</row>
    <row r="938" spans="2:25" ht="15" x14ac:dyDescent="0.2"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</row>
    <row r="939" spans="2:25" ht="15" x14ac:dyDescent="0.2"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</row>
    <row r="940" spans="2:25" ht="15" x14ac:dyDescent="0.2"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</row>
    <row r="941" spans="2:25" ht="15" x14ac:dyDescent="0.2"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</row>
    <row r="942" spans="2:25" ht="15" x14ac:dyDescent="0.2"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</row>
    <row r="943" spans="2:25" ht="15" x14ac:dyDescent="0.2"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</row>
    <row r="944" spans="2:25" ht="15" x14ac:dyDescent="0.2"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</row>
    <row r="945" spans="2:25" ht="15" x14ac:dyDescent="0.2"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</row>
    <row r="946" spans="2:25" ht="15" x14ac:dyDescent="0.2"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</row>
    <row r="947" spans="2:25" ht="15" x14ac:dyDescent="0.2"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</row>
    <row r="948" spans="2:25" ht="15" x14ac:dyDescent="0.2"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</row>
    <row r="949" spans="2:25" ht="15" x14ac:dyDescent="0.2"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</row>
    <row r="950" spans="2:25" ht="15" x14ac:dyDescent="0.2"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</row>
    <row r="951" spans="2:25" ht="15" x14ac:dyDescent="0.2"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</row>
    <row r="952" spans="2:25" ht="15" x14ac:dyDescent="0.2"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</row>
    <row r="953" spans="2:25" ht="15" x14ac:dyDescent="0.2"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</row>
    <row r="954" spans="2:25" ht="15" x14ac:dyDescent="0.2"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</row>
    <row r="955" spans="2:25" ht="15" x14ac:dyDescent="0.2"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</row>
    <row r="956" spans="2:25" ht="15" x14ac:dyDescent="0.2"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</row>
    <row r="957" spans="2:25" ht="15" x14ac:dyDescent="0.2"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</row>
    <row r="958" spans="2:25" ht="15" x14ac:dyDescent="0.2"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</row>
    <row r="959" spans="2:25" ht="15" x14ac:dyDescent="0.2"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</row>
    <row r="960" spans="2:25" ht="15" x14ac:dyDescent="0.2"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</row>
    <row r="961" spans="2:25" ht="15" x14ac:dyDescent="0.2"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</row>
    <row r="962" spans="2:25" ht="15" x14ac:dyDescent="0.2"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</row>
    <row r="963" spans="2:25" ht="15" x14ac:dyDescent="0.2"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</row>
    <row r="964" spans="2:25" ht="15" x14ac:dyDescent="0.2"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</row>
    <row r="965" spans="2:25" ht="15" x14ac:dyDescent="0.2"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</row>
    <row r="966" spans="2:25" ht="15" x14ac:dyDescent="0.2"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</row>
    <row r="967" spans="2:25" ht="15" x14ac:dyDescent="0.2"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</row>
    <row r="968" spans="2:25" ht="15" x14ac:dyDescent="0.2"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</row>
    <row r="969" spans="2:25" ht="15" x14ac:dyDescent="0.2"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</row>
    <row r="970" spans="2:25" ht="15" x14ac:dyDescent="0.2"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</row>
    <row r="971" spans="2:25" ht="15" x14ac:dyDescent="0.2"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</row>
    <row r="972" spans="2:25" ht="15" x14ac:dyDescent="0.2"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</row>
    <row r="973" spans="2:25" ht="15" x14ac:dyDescent="0.2"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</row>
    <row r="974" spans="2:25" ht="15" x14ac:dyDescent="0.2"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</row>
    <row r="975" spans="2:25" ht="15" x14ac:dyDescent="0.2"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</row>
    <row r="976" spans="2:25" ht="15" x14ac:dyDescent="0.2"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</row>
    <row r="977" spans="2:25" ht="15" x14ac:dyDescent="0.2"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</row>
    <row r="978" spans="2:25" ht="15" x14ac:dyDescent="0.2"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</row>
    <row r="979" spans="2:25" ht="15" x14ac:dyDescent="0.2"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</row>
    <row r="980" spans="2:25" ht="15" x14ac:dyDescent="0.2"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</row>
    <row r="981" spans="2:25" ht="15" x14ac:dyDescent="0.2"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</row>
    <row r="982" spans="2:25" ht="15" x14ac:dyDescent="0.2"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</row>
    <row r="983" spans="2:25" ht="15" x14ac:dyDescent="0.2"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</row>
    <row r="984" spans="2:25" ht="15" x14ac:dyDescent="0.2"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</row>
    <row r="985" spans="2:25" ht="15" x14ac:dyDescent="0.2"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</row>
    <row r="986" spans="2:25" ht="15" x14ac:dyDescent="0.2"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</row>
    <row r="987" spans="2:25" ht="15" x14ac:dyDescent="0.2"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</row>
    <row r="988" spans="2:25" ht="15" x14ac:dyDescent="0.2"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</row>
    <row r="989" spans="2:25" ht="15" x14ac:dyDescent="0.2"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</row>
    <row r="990" spans="2:25" ht="15" x14ac:dyDescent="0.2"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</row>
    <row r="991" spans="2:25" ht="15" x14ac:dyDescent="0.2"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</row>
    <row r="992" spans="2:25" ht="15" x14ac:dyDescent="0.2"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</row>
    <row r="993" spans="2:25" ht="15" x14ac:dyDescent="0.2"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</row>
    <row r="994" spans="2:25" ht="15" x14ac:dyDescent="0.2"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</row>
    <row r="995" spans="2:25" ht="15" x14ac:dyDescent="0.2"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</row>
    <row r="996" spans="2:25" ht="15" x14ac:dyDescent="0.2"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</row>
    <row r="997" spans="2:25" ht="15" x14ac:dyDescent="0.2"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</row>
    <row r="998" spans="2:25" ht="15" x14ac:dyDescent="0.2"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</row>
    <row r="999" spans="2:25" ht="15" x14ac:dyDescent="0.2"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</row>
    <row r="1000" spans="2:25" ht="15" x14ac:dyDescent="0.2"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7266-F337-4F1C-B0C5-E6020AA19181}">
  <sheetPr>
    <tabColor theme="4"/>
    <outlinePr summaryBelow="0" summaryRight="0"/>
  </sheetPr>
  <dimension ref="A1:AM1000"/>
  <sheetViews>
    <sheetView workbookViewId="0">
      <selection activeCell="E7" sqref="E7"/>
    </sheetView>
  </sheetViews>
  <sheetFormatPr baseColWidth="10" defaultColWidth="14.3984375" defaultRowHeight="15.75" customHeight="1" x14ac:dyDescent="0.2"/>
  <cols>
    <col min="1" max="1" width="18" style="5" customWidth="1"/>
    <col min="2" max="2" width="24" style="4" customWidth="1"/>
    <col min="3" max="3" width="25" customWidth="1"/>
    <col min="4" max="4" width="22.59765625" bestFit="1" customWidth="1"/>
    <col min="5" max="5" width="24.19921875" bestFit="1" customWidth="1"/>
    <col min="6" max="7" width="22.19921875" bestFit="1" customWidth="1"/>
    <col min="8" max="8" width="23.796875" bestFit="1" customWidth="1"/>
    <col min="9" max="14" width="22.19921875" bestFit="1" customWidth="1"/>
    <col min="15" max="15" width="22.59765625" bestFit="1" customWidth="1"/>
    <col min="16" max="16" width="22.19921875" bestFit="1" customWidth="1"/>
    <col min="17" max="17" width="22.3984375" bestFit="1" customWidth="1"/>
    <col min="18" max="23" width="22.19921875" bestFit="1" customWidth="1"/>
    <col min="24" max="24" width="23.796875" bestFit="1" customWidth="1"/>
    <col min="25" max="25" width="21.59765625" bestFit="1" customWidth="1"/>
    <col min="26" max="27" width="21.19921875" bestFit="1" customWidth="1"/>
    <col min="28" max="28" width="22.3984375" bestFit="1" customWidth="1"/>
    <col min="29" max="30" width="22.19921875" bestFit="1" customWidth="1"/>
    <col min="31" max="31" width="21.19921875" bestFit="1" customWidth="1"/>
    <col min="32" max="32" width="22.796875" bestFit="1" customWidth="1"/>
    <col min="33" max="33" width="22" bestFit="1" customWidth="1"/>
    <col min="34" max="35" width="22.3984375" bestFit="1" customWidth="1"/>
    <col min="36" max="36" width="21.3984375" bestFit="1" customWidth="1"/>
    <col min="37" max="39" width="18.59765625" bestFit="1" customWidth="1"/>
  </cols>
  <sheetData>
    <row r="1" spans="1:39" ht="15" x14ac:dyDescent="0.2">
      <c r="A1" s="46" t="s">
        <v>1</v>
      </c>
      <c r="B1" s="46" t="s">
        <v>109</v>
      </c>
      <c r="C1" s="46" t="s">
        <v>110</v>
      </c>
      <c r="D1" s="46" t="s">
        <v>135</v>
      </c>
      <c r="E1" s="46" t="s">
        <v>145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9" ht="15.75" customHeight="1" x14ac:dyDescent="0.25">
      <c r="A2" s="36" t="s">
        <v>2</v>
      </c>
      <c r="B2" s="45">
        <v>160517504300</v>
      </c>
      <c r="C2" s="45">
        <v>501705486709</v>
      </c>
      <c r="D2" s="38">
        <v>728873500618</v>
      </c>
      <c r="E2" s="45">
        <v>999466023300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2"/>
    </row>
    <row r="3" spans="1:39" ht="15.75" customHeight="1" x14ac:dyDescent="0.2">
      <c r="A3" s="36" t="s">
        <v>3</v>
      </c>
      <c r="B3" s="38">
        <v>175019054060</v>
      </c>
      <c r="C3" s="38">
        <v>225893690626</v>
      </c>
      <c r="D3" s="38">
        <v>486218047600</v>
      </c>
      <c r="E3" s="38">
        <v>530605257304.79297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39" ht="15.75" customHeight="1" x14ac:dyDescent="0.2">
      <c r="A4" s="36" t="s">
        <v>4</v>
      </c>
      <c r="B4" s="38">
        <v>660000000000</v>
      </c>
      <c r="C4" s="38">
        <v>789970759990</v>
      </c>
      <c r="D4" s="38">
        <v>855000000000</v>
      </c>
      <c r="E4" s="38">
        <v>1363571856630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39" ht="15.75" customHeight="1" x14ac:dyDescent="0.2">
      <c r="A5" s="36" t="s">
        <v>5</v>
      </c>
      <c r="B5" s="38">
        <v>170394690431.45963</v>
      </c>
      <c r="C5" s="38">
        <v>379957258061.10999</v>
      </c>
      <c r="D5" s="38">
        <v>541991849118.12</v>
      </c>
      <c r="E5" s="38">
        <v>721374487705.17957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39" ht="15" x14ac:dyDescent="0.2">
      <c r="A6" s="36" t="s">
        <v>6</v>
      </c>
      <c r="B6" s="38">
        <v>192643808889.47</v>
      </c>
      <c r="C6" s="38">
        <v>285746717728.31</v>
      </c>
      <c r="D6" s="38">
        <v>450100228321.46997</v>
      </c>
      <c r="E6" s="38">
        <v>865067887904.34998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39" ht="15" x14ac:dyDescent="0.2">
      <c r="A7" s="36" t="s">
        <v>7</v>
      </c>
      <c r="B7" s="38">
        <v>377159999639.83997</v>
      </c>
      <c r="C7" s="38">
        <v>475818632374</v>
      </c>
      <c r="D7" s="38">
        <v>685373167591.88</v>
      </c>
      <c r="E7" s="38">
        <v>1001871313943.04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9" ht="15" x14ac:dyDescent="0.2">
      <c r="A8" s="36" t="s">
        <v>8</v>
      </c>
      <c r="B8" s="38">
        <v>179750090123.39999</v>
      </c>
      <c r="C8" s="38">
        <v>225727395206.97003</v>
      </c>
      <c r="D8" s="38">
        <v>550112988930.45996</v>
      </c>
      <c r="E8" s="38">
        <v>695011237687.27185</v>
      </c>
    </row>
    <row r="9" spans="1:39" ht="15" x14ac:dyDescent="0.2">
      <c r="A9" s="36" t="s">
        <v>9</v>
      </c>
      <c r="B9" s="38">
        <v>234031950000</v>
      </c>
      <c r="C9" s="38">
        <v>353732146000</v>
      </c>
      <c r="D9" s="38">
        <v>590857950000</v>
      </c>
      <c r="E9" s="38">
        <v>861332179000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39" ht="15" x14ac:dyDescent="0.2">
      <c r="A10" s="36" t="s">
        <v>10</v>
      </c>
      <c r="B10" s="38">
        <v>324327837413.25</v>
      </c>
      <c r="C10" s="38">
        <v>295635531978</v>
      </c>
      <c r="D10" s="38">
        <v>533523915716</v>
      </c>
      <c r="E10" s="38">
        <v>953624047275.08032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39" ht="15" x14ac:dyDescent="0.2">
      <c r="A11" s="36" t="s">
        <v>11</v>
      </c>
      <c r="B11" s="38">
        <v>561636910991</v>
      </c>
      <c r="C11" s="38">
        <v>714979313867.03003</v>
      </c>
      <c r="D11" s="38">
        <v>926078818719.08984</v>
      </c>
      <c r="E11" s="38">
        <v>1699881208778.9988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39" ht="15" x14ac:dyDescent="0.2">
      <c r="A12" s="36" t="s">
        <v>12</v>
      </c>
      <c r="B12" s="38">
        <v>134398280640</v>
      </c>
      <c r="C12" s="38">
        <v>196127918907</v>
      </c>
      <c r="D12" s="38">
        <v>429978000000</v>
      </c>
      <c r="E12" s="38">
        <v>876807118099.18005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39" ht="15" x14ac:dyDescent="0.2">
      <c r="A13" s="36" t="s">
        <v>13</v>
      </c>
      <c r="B13" s="38">
        <v>316350006784.16455</v>
      </c>
      <c r="C13" s="38">
        <v>332825969909.21997</v>
      </c>
      <c r="D13" s="38">
        <v>665220058858.5</v>
      </c>
      <c r="E13" s="38">
        <v>919850000000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39" ht="15" x14ac:dyDescent="0.2">
      <c r="A14" s="36" t="s">
        <v>14</v>
      </c>
      <c r="B14" s="38">
        <v>108572718523.81999</v>
      </c>
      <c r="C14" s="38">
        <v>154677727505.69998</v>
      </c>
      <c r="D14" s="38">
        <v>356654258024.33997</v>
      </c>
      <c r="E14" s="38">
        <v>381997836331.14996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39" ht="15" x14ac:dyDescent="0.2">
      <c r="A15" s="36" t="s">
        <v>15</v>
      </c>
      <c r="B15" s="38">
        <v>151602416770</v>
      </c>
      <c r="C15" s="38">
        <v>510561386000</v>
      </c>
      <c r="D15" s="38">
        <v>939084000000</v>
      </c>
      <c r="E15" s="38">
        <v>1587397465000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39" ht="15" x14ac:dyDescent="0.2">
      <c r="A16" s="36" t="s">
        <v>16</v>
      </c>
      <c r="B16" s="38">
        <v>165417450000</v>
      </c>
      <c r="C16" s="38">
        <v>216172445500</v>
      </c>
      <c r="D16" s="38">
        <v>262630245000</v>
      </c>
      <c r="E16" s="38">
        <v>576796596204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x14ac:dyDescent="0.2">
      <c r="A17" s="36" t="s">
        <v>17</v>
      </c>
      <c r="B17" s="38">
        <v>474466276267</v>
      </c>
      <c r="C17" s="38">
        <v>592234594177</v>
      </c>
      <c r="D17" s="38">
        <v>807088041220</v>
      </c>
      <c r="E17" s="38">
        <v>1424220851856.47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x14ac:dyDescent="0.2">
      <c r="A18" s="36" t="s">
        <v>18</v>
      </c>
      <c r="B18" s="38">
        <v>169471000000</v>
      </c>
      <c r="C18" s="38">
        <v>280538000000</v>
      </c>
      <c r="D18" s="38">
        <v>598300000000</v>
      </c>
      <c r="E18" s="38">
        <v>813841320000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x14ac:dyDescent="0.2">
      <c r="A19" s="36" t="s">
        <v>19</v>
      </c>
      <c r="B19" s="38">
        <v>333830474172.62</v>
      </c>
      <c r="C19" s="38">
        <v>434846661929.84998</v>
      </c>
      <c r="D19" s="38">
        <v>708891358808.22998</v>
      </c>
      <c r="E19" s="38">
        <v>841673270935.21973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x14ac:dyDescent="0.2">
      <c r="A20" s="36" t="s">
        <v>20</v>
      </c>
      <c r="B20" s="38">
        <v>242189516094.08002</v>
      </c>
      <c r="C20" s="38">
        <v>421527326798</v>
      </c>
      <c r="D20" s="38">
        <v>690755417662.99536</v>
      </c>
      <c r="E20" s="38">
        <v>1375564829270.9961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x14ac:dyDescent="0.2">
      <c r="A21" s="36" t="s">
        <v>21</v>
      </c>
      <c r="B21" s="38">
        <v>277570887873.89001</v>
      </c>
      <c r="C21" s="38">
        <v>439308862113.95996</v>
      </c>
      <c r="D21" s="38">
        <v>662244449513.87012</v>
      </c>
      <c r="E21" s="38">
        <v>869865078282.05164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x14ac:dyDescent="0.2">
      <c r="A22" s="36" t="s">
        <v>22</v>
      </c>
      <c r="B22" s="38">
        <v>152244091924.65002</v>
      </c>
      <c r="C22" s="38">
        <v>231807142510.04001</v>
      </c>
      <c r="D22" s="45">
        <v>548327469023.79993</v>
      </c>
      <c r="E22" s="38">
        <v>611478424972.88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x14ac:dyDescent="0.2">
      <c r="A23" s="36" t="s">
        <v>23</v>
      </c>
      <c r="B23" s="38">
        <v>172090787292</v>
      </c>
      <c r="C23" s="38">
        <v>258278501339</v>
      </c>
      <c r="D23" s="45">
        <v>582404119489</v>
      </c>
      <c r="E23" s="38">
        <v>820490585443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x14ac:dyDescent="0.2">
      <c r="A24" s="36" t="s">
        <v>24</v>
      </c>
      <c r="B24" s="38">
        <v>158845603561</v>
      </c>
      <c r="C24" s="38">
        <v>258741292132.29999</v>
      </c>
      <c r="D24" s="45">
        <v>522491024315.71997</v>
      </c>
      <c r="E24" s="38">
        <v>582425034075.48999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x14ac:dyDescent="0.2">
      <c r="A25" s="36" t="s">
        <v>25</v>
      </c>
      <c r="B25" s="38">
        <v>1665870649640.3899</v>
      </c>
      <c r="C25" s="38">
        <v>2242976121869.0098</v>
      </c>
      <c r="D25" s="45">
        <v>3340495595582.7305</v>
      </c>
      <c r="E25" s="38">
        <v>4429289776438.002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x14ac:dyDescent="0.2">
      <c r="A26" s="36" t="s">
        <v>26</v>
      </c>
      <c r="B26" s="45">
        <v>144500289199.62</v>
      </c>
      <c r="C26" s="45">
        <v>196322438297.70999</v>
      </c>
      <c r="D26" s="45">
        <v>353079269014.43994</v>
      </c>
      <c r="E26" s="45">
        <v>481600076454.5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x14ac:dyDescent="0.2">
      <c r="A27" s="36" t="s">
        <v>27</v>
      </c>
      <c r="B27" s="45">
        <v>243647189978.88</v>
      </c>
      <c r="C27" s="45">
        <v>613994801697.63989</v>
      </c>
      <c r="D27" s="45">
        <v>1558887565358</v>
      </c>
      <c r="E27" s="45">
        <v>1073991335895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x14ac:dyDescent="0.2">
      <c r="A28" s="36" t="s">
        <v>28</v>
      </c>
      <c r="B28" s="45">
        <v>430619053806.67999</v>
      </c>
      <c r="C28" s="45">
        <v>662832084261.42993</v>
      </c>
      <c r="D28" s="45">
        <v>1015534968422.5701</v>
      </c>
      <c r="E28" s="45">
        <v>1583579391269.156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x14ac:dyDescent="0.2">
      <c r="A29" s="36" t="s">
        <v>29</v>
      </c>
      <c r="B29" s="45">
        <v>251976992878</v>
      </c>
      <c r="C29" s="45">
        <v>372919213447.79999</v>
      </c>
      <c r="D29" s="45">
        <v>535493556516.47998</v>
      </c>
      <c r="E29" s="45">
        <v>365206570729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 x14ac:dyDescent="0.2">
      <c r="A30" s="36" t="s">
        <v>30</v>
      </c>
      <c r="B30" s="45">
        <v>138265988140</v>
      </c>
      <c r="C30" s="45">
        <v>258324339710</v>
      </c>
      <c r="D30" s="45">
        <v>397745800050</v>
      </c>
      <c r="E30" s="45">
        <v>707262688180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x14ac:dyDescent="0.2">
      <c r="A31" s="36" t="s">
        <v>31</v>
      </c>
      <c r="B31" s="45">
        <v>310432500000</v>
      </c>
      <c r="C31" s="45">
        <v>435508667617.13995</v>
      </c>
      <c r="D31" s="45">
        <v>680260414214.29004</v>
      </c>
      <c r="E31" s="45">
        <v>849778780366.6925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x14ac:dyDescent="0.2">
      <c r="A32" s="36" t="s">
        <v>32</v>
      </c>
      <c r="B32" s="45">
        <v>149951334591</v>
      </c>
      <c r="C32" s="45">
        <v>314855148553</v>
      </c>
      <c r="D32" s="45">
        <v>499451161110.63</v>
      </c>
      <c r="E32" s="45">
        <v>817509689432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36" ht="15" x14ac:dyDescent="0.2">
      <c r="A33" s="36" t="s">
        <v>33</v>
      </c>
      <c r="B33" s="45">
        <v>544699687799</v>
      </c>
      <c r="C33" s="45">
        <v>793457700561</v>
      </c>
      <c r="D33" s="45">
        <v>1176031452042.1802</v>
      </c>
      <c r="E33" s="45"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36" ht="15" x14ac:dyDescent="0.2">
      <c r="A34" s="36" t="s">
        <v>34</v>
      </c>
      <c r="B34" s="45">
        <v>193280535243.34998</v>
      </c>
      <c r="C34" s="45">
        <v>250789997188.75</v>
      </c>
      <c r="D34" s="45">
        <v>413074379419.17993</v>
      </c>
      <c r="E34" s="45">
        <v>697647786304.78931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36" ht="15" x14ac:dyDescent="0.2">
      <c r="A35" s="36" t="s">
        <v>35</v>
      </c>
      <c r="B35" s="45">
        <v>172634537459.39999</v>
      </c>
      <c r="C35" s="45">
        <v>309888525661.54999</v>
      </c>
      <c r="D35" s="45">
        <v>425498968402.29999</v>
      </c>
      <c r="E35" s="45">
        <v>651494038000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36" ht="15" x14ac:dyDescent="0.2">
      <c r="A36" s="36" t="s">
        <v>36</v>
      </c>
      <c r="B36" s="45">
        <v>161350610260</v>
      </c>
      <c r="C36" s="45">
        <v>213450000000</v>
      </c>
      <c r="D36" s="45">
        <v>315796000000</v>
      </c>
      <c r="E36" s="45">
        <v>505532000000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36" ht="15" x14ac:dyDescent="0.2">
      <c r="A37" s="36" t="s">
        <v>37</v>
      </c>
      <c r="B37" s="45">
        <v>184872119000.73999</v>
      </c>
      <c r="C37" s="45">
        <v>426563671000</v>
      </c>
      <c r="D37" s="45">
        <v>546014575000</v>
      </c>
      <c r="E37" s="45">
        <v>871337000000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36" s="50" customFormat="1" ht="15" x14ac:dyDescent="0.2">
      <c r="A38" s="48" t="s">
        <v>106</v>
      </c>
      <c r="B38" s="49">
        <f>SUM(B2:B37)</f>
        <v>10484632843748.705</v>
      </c>
      <c r="C38" s="49">
        <f>SUM(C2:C37)</f>
        <v>15668697471227.523</v>
      </c>
      <c r="D38" s="49">
        <f>SUM(D2:D37)</f>
        <v>25379562613664.277</v>
      </c>
      <c r="E38" s="49">
        <f>SUM(E2:E37)</f>
        <v>34408443043068.285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36" ht="15" x14ac:dyDescent="0.2"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36" ht="15" x14ac:dyDescent="0.2">
      <c r="A40" s="44"/>
      <c r="B40" s="9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</row>
    <row r="41" spans="1:36" ht="15" x14ac:dyDescent="0.2">
      <c r="A41" s="44"/>
      <c r="B41" s="9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</row>
    <row r="42" spans="1:36" ht="15" x14ac:dyDescent="0.2"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36" ht="15" x14ac:dyDescent="0.2"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36" ht="15" x14ac:dyDescent="0.2"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36" ht="15" x14ac:dyDescent="0.2"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36" ht="15" x14ac:dyDescent="0.2"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36" ht="15" x14ac:dyDescent="0.2"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36" ht="15" x14ac:dyDescent="0.2"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ht="15" x14ac:dyDescent="0.2"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 ht="15" x14ac:dyDescent="0.2"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 ht="15" x14ac:dyDescent="0.2"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ht="15" x14ac:dyDescent="0.2"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ht="15" x14ac:dyDescent="0.2"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ht="15" x14ac:dyDescent="0.2"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ht="15" x14ac:dyDescent="0.2"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ht="15" x14ac:dyDescent="0.2"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ht="15" x14ac:dyDescent="0.2"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 ht="15" x14ac:dyDescent="0.2"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2:24" ht="15" x14ac:dyDescent="0.2"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2:24" ht="15" x14ac:dyDescent="0.2"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2:24" ht="15" x14ac:dyDescent="0.2"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2:24" ht="15" x14ac:dyDescent="0.2"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2:24" ht="15" x14ac:dyDescent="0.2"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ht="15" x14ac:dyDescent="0.2"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 ht="15" x14ac:dyDescent="0.2"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 ht="15" x14ac:dyDescent="0.2"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 ht="15" x14ac:dyDescent="0.2"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 ht="15" x14ac:dyDescent="0.2"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 ht="15" x14ac:dyDescent="0.2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 ht="15" x14ac:dyDescent="0.2"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 ht="15" x14ac:dyDescent="0.2"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 ht="15" x14ac:dyDescent="0.2"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 ht="15" x14ac:dyDescent="0.2"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 ht="15" x14ac:dyDescent="0.2"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 ht="15" x14ac:dyDescent="0.2"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 ht="15" x14ac:dyDescent="0.2"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 ht="15" x14ac:dyDescent="0.2"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 ht="15" x14ac:dyDescent="0.2"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 ht="15" x14ac:dyDescent="0.2"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 ht="15" x14ac:dyDescent="0.2"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 ht="15" x14ac:dyDescent="0.2"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 ht="15" x14ac:dyDescent="0.2"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 ht="15" x14ac:dyDescent="0.2"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 ht="15" x14ac:dyDescent="0.2"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 ht="15" x14ac:dyDescent="0.2"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 ht="15" x14ac:dyDescent="0.2"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 ht="15" x14ac:dyDescent="0.2"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 ht="15" x14ac:dyDescent="0.2"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 ht="15" x14ac:dyDescent="0.2"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 ht="15" x14ac:dyDescent="0.2"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 ht="15" x14ac:dyDescent="0.2"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 ht="15" x14ac:dyDescent="0.2"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2:24" ht="15" x14ac:dyDescent="0.2"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2:24" ht="15" x14ac:dyDescent="0.2"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2:24" ht="15" x14ac:dyDescent="0.2"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2:24" ht="15" x14ac:dyDescent="0.2"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 ht="15" x14ac:dyDescent="0.2"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 ht="15" x14ac:dyDescent="0.2"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ht="15" x14ac:dyDescent="0.2"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ht="15" x14ac:dyDescent="0.2"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ht="15" x14ac:dyDescent="0.2"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ht="15" x14ac:dyDescent="0.2"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ht="15" x14ac:dyDescent="0.2"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ht="15" x14ac:dyDescent="0.2"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ht="15" x14ac:dyDescent="0.2"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ht="15" x14ac:dyDescent="0.2"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ht="15" x14ac:dyDescent="0.2"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ht="15" x14ac:dyDescent="0.2"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ht="15" x14ac:dyDescent="0.2"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ht="15" x14ac:dyDescent="0.2"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ht="15" x14ac:dyDescent="0.2"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ht="15" x14ac:dyDescent="0.2"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ht="15" x14ac:dyDescent="0.2"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ht="15" x14ac:dyDescent="0.2"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ht="15" x14ac:dyDescent="0.2"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ht="15" x14ac:dyDescent="0.2"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ht="15" x14ac:dyDescent="0.2"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ht="15" x14ac:dyDescent="0.2"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ht="15" x14ac:dyDescent="0.2"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ht="15" x14ac:dyDescent="0.2"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ht="15" x14ac:dyDescent="0.2"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ht="15" x14ac:dyDescent="0.2"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ht="15" x14ac:dyDescent="0.2"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ht="15" x14ac:dyDescent="0.2"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ht="15" x14ac:dyDescent="0.2"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ht="15" x14ac:dyDescent="0.2"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ht="15" x14ac:dyDescent="0.2"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ht="15" x14ac:dyDescent="0.2"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ht="15" x14ac:dyDescent="0.2"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ht="15" x14ac:dyDescent="0.2"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ht="15" x14ac:dyDescent="0.2"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ht="15" x14ac:dyDescent="0.2"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ht="15" x14ac:dyDescent="0.2"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ht="15" x14ac:dyDescent="0.2"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ht="15" x14ac:dyDescent="0.2"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ht="15" x14ac:dyDescent="0.2"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ht="15" x14ac:dyDescent="0.2"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ht="15" x14ac:dyDescent="0.2"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ht="15" x14ac:dyDescent="0.2"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ht="15" x14ac:dyDescent="0.2"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ht="15" x14ac:dyDescent="0.2"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ht="15" x14ac:dyDescent="0.2"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ht="15" x14ac:dyDescent="0.2"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ht="15" x14ac:dyDescent="0.2"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ht="15" x14ac:dyDescent="0.2"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ht="15" x14ac:dyDescent="0.2"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ht="15" x14ac:dyDescent="0.2"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ht="15" x14ac:dyDescent="0.2"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ht="15" x14ac:dyDescent="0.2"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ht="15" x14ac:dyDescent="0.2"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ht="15" x14ac:dyDescent="0.2"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ht="15" x14ac:dyDescent="0.2"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ht="15" x14ac:dyDescent="0.2"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ht="15" x14ac:dyDescent="0.2"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ht="15" x14ac:dyDescent="0.2"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ht="15" x14ac:dyDescent="0.2"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ht="15" x14ac:dyDescent="0.2"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ht="15" x14ac:dyDescent="0.2"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ht="15" x14ac:dyDescent="0.2"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ht="15" x14ac:dyDescent="0.2"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ht="15" x14ac:dyDescent="0.2"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ht="15" x14ac:dyDescent="0.2"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ht="15" x14ac:dyDescent="0.2"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ht="15" x14ac:dyDescent="0.2"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ht="15" x14ac:dyDescent="0.2"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ht="15" x14ac:dyDescent="0.2"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ht="15" x14ac:dyDescent="0.2"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ht="15" x14ac:dyDescent="0.2"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ht="15" x14ac:dyDescent="0.2"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ht="15" x14ac:dyDescent="0.2"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ht="15" x14ac:dyDescent="0.2"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ht="15" x14ac:dyDescent="0.2"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ht="15" x14ac:dyDescent="0.2"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ht="15" x14ac:dyDescent="0.2"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ht="15" x14ac:dyDescent="0.2"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ht="15" x14ac:dyDescent="0.2"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ht="15" x14ac:dyDescent="0.2"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ht="15" x14ac:dyDescent="0.2"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ht="15" x14ac:dyDescent="0.2"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ht="15" x14ac:dyDescent="0.2"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ht="15" x14ac:dyDescent="0.2"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ht="15" x14ac:dyDescent="0.2"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ht="15" x14ac:dyDescent="0.2"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ht="15" x14ac:dyDescent="0.2"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ht="15" x14ac:dyDescent="0.2"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ht="15" x14ac:dyDescent="0.2"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ht="15" x14ac:dyDescent="0.2"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ht="15" x14ac:dyDescent="0.2"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ht="15" x14ac:dyDescent="0.2"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ht="15" x14ac:dyDescent="0.2"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ht="15" x14ac:dyDescent="0.2"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ht="15" x14ac:dyDescent="0.2"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ht="15" x14ac:dyDescent="0.2"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ht="15" x14ac:dyDescent="0.2"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ht="15" x14ac:dyDescent="0.2"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ht="15" x14ac:dyDescent="0.2"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ht="15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ht="15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ht="15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ht="15" x14ac:dyDescent="0.2"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ht="15" x14ac:dyDescent="0.2"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ht="15" x14ac:dyDescent="0.2"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ht="15" x14ac:dyDescent="0.2"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ht="15" x14ac:dyDescent="0.2"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ht="15" x14ac:dyDescent="0.2"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ht="15" x14ac:dyDescent="0.2"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ht="15" x14ac:dyDescent="0.2"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ht="15" x14ac:dyDescent="0.2"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2:24" ht="15" x14ac:dyDescent="0.2"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2:24" ht="15" x14ac:dyDescent="0.2"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2:24" ht="15" x14ac:dyDescent="0.2"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2:24" ht="15" x14ac:dyDescent="0.2"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2:24" ht="15" x14ac:dyDescent="0.2"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2:24" ht="15" x14ac:dyDescent="0.2"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2:24" ht="15" x14ac:dyDescent="0.2"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2:24" ht="15" x14ac:dyDescent="0.2"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2:24" ht="15" x14ac:dyDescent="0.2"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2:24" ht="15" x14ac:dyDescent="0.2"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2:24" ht="15" x14ac:dyDescent="0.2"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2:24" ht="15" x14ac:dyDescent="0.2"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2:24" ht="15" x14ac:dyDescent="0.2"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2:24" ht="15" x14ac:dyDescent="0.2"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2:24" ht="15" x14ac:dyDescent="0.2"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2:24" ht="15" x14ac:dyDescent="0.2"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2:24" ht="15" x14ac:dyDescent="0.2"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2:24" ht="15" x14ac:dyDescent="0.2"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2:24" ht="15" x14ac:dyDescent="0.2"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2:24" ht="15" x14ac:dyDescent="0.2"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2:24" ht="15" x14ac:dyDescent="0.2"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2:24" ht="15" x14ac:dyDescent="0.2"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2:24" ht="15" x14ac:dyDescent="0.2"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2:24" ht="15" x14ac:dyDescent="0.2"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2:24" ht="15" x14ac:dyDescent="0.2"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2:24" ht="15" x14ac:dyDescent="0.2"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2:24" ht="15" x14ac:dyDescent="0.2"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2:24" ht="15" x14ac:dyDescent="0.2"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2:24" ht="15" x14ac:dyDescent="0.2"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2:24" ht="15" x14ac:dyDescent="0.2"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2:24" ht="15" x14ac:dyDescent="0.2"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2:24" ht="15" x14ac:dyDescent="0.2"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2:24" ht="15" x14ac:dyDescent="0.2"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2:24" ht="15" x14ac:dyDescent="0.2"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2:24" ht="15" x14ac:dyDescent="0.2"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2:24" ht="15" x14ac:dyDescent="0.2"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2:24" ht="15" x14ac:dyDescent="0.2"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2:24" ht="15" x14ac:dyDescent="0.2"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2:24" ht="15" x14ac:dyDescent="0.2"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2:24" ht="15" x14ac:dyDescent="0.2"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2:24" ht="15" x14ac:dyDescent="0.2"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2:24" ht="15" x14ac:dyDescent="0.2"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2:24" ht="15" x14ac:dyDescent="0.2"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2:24" ht="15" x14ac:dyDescent="0.2"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2:24" ht="15" x14ac:dyDescent="0.2"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2:24" ht="15" x14ac:dyDescent="0.2"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2:24" ht="15" x14ac:dyDescent="0.2"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2:24" ht="15" x14ac:dyDescent="0.2"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2:24" ht="15" x14ac:dyDescent="0.2"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2:24" ht="15" x14ac:dyDescent="0.2"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2:24" ht="15" x14ac:dyDescent="0.2"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2:24" ht="15" x14ac:dyDescent="0.2"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2:24" ht="15" x14ac:dyDescent="0.2"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2:24" ht="15" x14ac:dyDescent="0.2"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2:24" ht="15" x14ac:dyDescent="0.2"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2:24" ht="15" x14ac:dyDescent="0.2"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2:24" ht="15" x14ac:dyDescent="0.2"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2:24" ht="15" x14ac:dyDescent="0.2"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2:24" ht="15" x14ac:dyDescent="0.2"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2:24" ht="15" x14ac:dyDescent="0.2"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2:24" ht="15" x14ac:dyDescent="0.2"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2:24" ht="15" x14ac:dyDescent="0.2"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2:24" ht="15" x14ac:dyDescent="0.2"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2:24" ht="15" x14ac:dyDescent="0.2"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2:24" ht="15" x14ac:dyDescent="0.2"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2:24" ht="15" x14ac:dyDescent="0.2"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2:24" ht="15" x14ac:dyDescent="0.2"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2:24" ht="15" x14ac:dyDescent="0.2"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2:24" ht="15" x14ac:dyDescent="0.2"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2:24" ht="15" x14ac:dyDescent="0.2"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2:24" ht="15" x14ac:dyDescent="0.2"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2:24" ht="15" x14ac:dyDescent="0.2"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2:24" ht="15" x14ac:dyDescent="0.2"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2:24" ht="15" x14ac:dyDescent="0.2"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2:24" ht="15" x14ac:dyDescent="0.2"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2:24" ht="15" x14ac:dyDescent="0.2"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2:24" ht="15" x14ac:dyDescent="0.2"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2:24" ht="15" x14ac:dyDescent="0.2"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2:24" ht="15" x14ac:dyDescent="0.2"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2:24" ht="15" x14ac:dyDescent="0.2"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2:24" ht="15" x14ac:dyDescent="0.2"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2:24" ht="15" x14ac:dyDescent="0.2"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2:24" ht="15" x14ac:dyDescent="0.2"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2:24" ht="15" x14ac:dyDescent="0.2"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2:24" ht="15" x14ac:dyDescent="0.2"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2:24" ht="15" x14ac:dyDescent="0.2"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2:24" ht="15" x14ac:dyDescent="0.2"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2:24" ht="15" x14ac:dyDescent="0.2"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2:24" ht="15" x14ac:dyDescent="0.2"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2:24" ht="15" x14ac:dyDescent="0.2"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2:24" ht="15" x14ac:dyDescent="0.2"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2:24" ht="15" x14ac:dyDescent="0.2"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2:24" ht="15" x14ac:dyDescent="0.2"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2:24" ht="15" x14ac:dyDescent="0.2"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2:24" ht="15" x14ac:dyDescent="0.2"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2:24" ht="15" x14ac:dyDescent="0.2"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2:24" ht="15" x14ac:dyDescent="0.2"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2:24" ht="15" x14ac:dyDescent="0.2"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2:24" ht="15" x14ac:dyDescent="0.2"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2:24" ht="15" x14ac:dyDescent="0.2"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2:24" ht="15" x14ac:dyDescent="0.2"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2:24" ht="15" x14ac:dyDescent="0.2"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2:24" ht="15" x14ac:dyDescent="0.2"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2:24" ht="15" x14ac:dyDescent="0.2"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2:24" ht="15" x14ac:dyDescent="0.2"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2:24" ht="15" x14ac:dyDescent="0.2"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2:24" ht="15" x14ac:dyDescent="0.2"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2:24" ht="15" x14ac:dyDescent="0.2"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2:24" ht="15" x14ac:dyDescent="0.2"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2:24" ht="15" x14ac:dyDescent="0.2"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2:24" ht="15" x14ac:dyDescent="0.2"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2:24" ht="15" x14ac:dyDescent="0.2"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2:24" ht="15" x14ac:dyDescent="0.2"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2:24" ht="15" x14ac:dyDescent="0.2"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2:24" ht="15" x14ac:dyDescent="0.2"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2:24" ht="15" x14ac:dyDescent="0.2"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2:24" ht="15" x14ac:dyDescent="0.2"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2:24" ht="15" x14ac:dyDescent="0.2"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2:24" ht="15" x14ac:dyDescent="0.2"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2:24" ht="15" x14ac:dyDescent="0.2"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2:24" ht="15" x14ac:dyDescent="0.2"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2:24" ht="15" x14ac:dyDescent="0.2"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2:24" ht="15" x14ac:dyDescent="0.2"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2:24" ht="15" x14ac:dyDescent="0.2"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2:24" ht="15" x14ac:dyDescent="0.2"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2:24" ht="15" x14ac:dyDescent="0.2"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2:24" ht="15" x14ac:dyDescent="0.2"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2:24" ht="15" x14ac:dyDescent="0.2"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2:24" ht="15" x14ac:dyDescent="0.2"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2:24" ht="15" x14ac:dyDescent="0.2"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2:24" ht="15" x14ac:dyDescent="0.2"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2:24" ht="15" x14ac:dyDescent="0.2"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2:24" ht="15" x14ac:dyDescent="0.2"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2:24" ht="15" x14ac:dyDescent="0.2"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2:24" ht="15" x14ac:dyDescent="0.2"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2:24" ht="15" x14ac:dyDescent="0.2"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2:24" ht="15" x14ac:dyDescent="0.2"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2:24" ht="15" x14ac:dyDescent="0.2"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2:24" ht="15" x14ac:dyDescent="0.2"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2:24" ht="15" x14ac:dyDescent="0.2"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2:24" ht="15" x14ac:dyDescent="0.2"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2:24" ht="15" x14ac:dyDescent="0.2"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2:24" ht="15" x14ac:dyDescent="0.2"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2:24" ht="15" x14ac:dyDescent="0.2"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2:24" ht="15" x14ac:dyDescent="0.2"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2:24" ht="15" x14ac:dyDescent="0.2"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2:24" ht="15" x14ac:dyDescent="0.2"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2:24" ht="15" x14ac:dyDescent="0.2"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2:24" ht="15" x14ac:dyDescent="0.2"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2:24" ht="15" x14ac:dyDescent="0.2"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2:24" ht="15" x14ac:dyDescent="0.2"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2:24" ht="15" x14ac:dyDescent="0.2"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2:24" ht="15" x14ac:dyDescent="0.2"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2:24" ht="15" x14ac:dyDescent="0.2"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2:24" ht="15" x14ac:dyDescent="0.2"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2:24" ht="15" x14ac:dyDescent="0.2"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2:24" ht="15" x14ac:dyDescent="0.2"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2:24" ht="15" x14ac:dyDescent="0.2"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2:24" ht="15" x14ac:dyDescent="0.2"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2:24" ht="15" x14ac:dyDescent="0.2"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2:24" ht="15" x14ac:dyDescent="0.2"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2:24" ht="15" x14ac:dyDescent="0.2"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2:24" ht="15" x14ac:dyDescent="0.2"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2:24" ht="15" x14ac:dyDescent="0.2"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2:24" ht="15" x14ac:dyDescent="0.2"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2:24" ht="15" x14ac:dyDescent="0.2"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2:24" ht="15" x14ac:dyDescent="0.2"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2:24" ht="15" x14ac:dyDescent="0.2"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2:24" ht="15" x14ac:dyDescent="0.2"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2:24" ht="15" x14ac:dyDescent="0.2"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2:24" ht="15" x14ac:dyDescent="0.2"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2:24" ht="15" x14ac:dyDescent="0.2"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2:24" ht="15" x14ac:dyDescent="0.2"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2:24" ht="15" x14ac:dyDescent="0.2"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2:24" ht="15" x14ac:dyDescent="0.2"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2:24" ht="15" x14ac:dyDescent="0.2"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2:24" ht="15" x14ac:dyDescent="0.2"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2:24" ht="15" x14ac:dyDescent="0.2"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2:24" ht="15" x14ac:dyDescent="0.2"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2:24" ht="15" x14ac:dyDescent="0.2"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2:24" ht="15" x14ac:dyDescent="0.2"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2:24" ht="15" x14ac:dyDescent="0.2"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2:24" ht="15" x14ac:dyDescent="0.2"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2:24" ht="15" x14ac:dyDescent="0.2"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2:24" ht="15" x14ac:dyDescent="0.2"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2:24" ht="15" x14ac:dyDescent="0.2"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2:24" ht="15" x14ac:dyDescent="0.2"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2:24" ht="15" x14ac:dyDescent="0.2"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2:24" ht="15" x14ac:dyDescent="0.2"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2:24" ht="15" x14ac:dyDescent="0.2"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2:24" ht="15" x14ac:dyDescent="0.2"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2:24" ht="15" x14ac:dyDescent="0.2"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2:24" ht="15" x14ac:dyDescent="0.2"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2:24" ht="15" x14ac:dyDescent="0.2"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2:24" ht="15" x14ac:dyDescent="0.2"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2:24" ht="15" x14ac:dyDescent="0.2"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2:24" ht="15" x14ac:dyDescent="0.2"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2:24" ht="15" x14ac:dyDescent="0.2"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2:24" ht="15" x14ac:dyDescent="0.2"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2:24" ht="15" x14ac:dyDescent="0.2"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2:24" ht="15" x14ac:dyDescent="0.2"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2:24" ht="15" x14ac:dyDescent="0.2"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2:24" ht="15" x14ac:dyDescent="0.2"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2:24" ht="15" x14ac:dyDescent="0.2"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2:24" ht="15" x14ac:dyDescent="0.2"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2:24" ht="15" x14ac:dyDescent="0.2"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2:24" ht="15" x14ac:dyDescent="0.2"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2:24" ht="15" x14ac:dyDescent="0.2"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2:24" ht="15" x14ac:dyDescent="0.2"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2:24" ht="15" x14ac:dyDescent="0.2"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2:24" ht="15" x14ac:dyDescent="0.2"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2:24" ht="15" x14ac:dyDescent="0.2"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2:24" ht="15" x14ac:dyDescent="0.2"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2:24" ht="15" x14ac:dyDescent="0.2"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2:24" ht="15" x14ac:dyDescent="0.2"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2:24" ht="15" x14ac:dyDescent="0.2"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2:24" ht="15" x14ac:dyDescent="0.2"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2:24" ht="15" x14ac:dyDescent="0.2"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2:24" ht="15" x14ac:dyDescent="0.2"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2:24" ht="15" x14ac:dyDescent="0.2"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2:24" ht="15" x14ac:dyDescent="0.2"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2:24" ht="15" x14ac:dyDescent="0.2"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2:24" ht="15" x14ac:dyDescent="0.2"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2:24" ht="15" x14ac:dyDescent="0.2"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2:24" ht="15" x14ac:dyDescent="0.2"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2:24" ht="15" x14ac:dyDescent="0.2"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2:24" ht="15" x14ac:dyDescent="0.2"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2:24" ht="15" x14ac:dyDescent="0.2"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2:24" ht="15" x14ac:dyDescent="0.2"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2:24" ht="15" x14ac:dyDescent="0.2"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2:24" ht="15" x14ac:dyDescent="0.2"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2:24" ht="15" x14ac:dyDescent="0.2"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2:24" ht="15" x14ac:dyDescent="0.2"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2:24" ht="15" x14ac:dyDescent="0.2"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2:24" ht="15" x14ac:dyDescent="0.2"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2:24" ht="15" x14ac:dyDescent="0.2"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2:24" ht="15" x14ac:dyDescent="0.2"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2:24" ht="15" x14ac:dyDescent="0.2"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2:24" ht="15" x14ac:dyDescent="0.2"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2:24" ht="15" x14ac:dyDescent="0.2"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2:24" ht="15" x14ac:dyDescent="0.2"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2:24" ht="15" x14ac:dyDescent="0.2"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2:24" ht="15" x14ac:dyDescent="0.2"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2:24" ht="15" x14ac:dyDescent="0.2"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2:24" ht="15" x14ac:dyDescent="0.2"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2:24" ht="15" x14ac:dyDescent="0.2"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2:24" ht="15" x14ac:dyDescent="0.2"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2:24" ht="15" x14ac:dyDescent="0.2"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2:24" ht="15" x14ac:dyDescent="0.2"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2:24" ht="15" x14ac:dyDescent="0.2"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2:24" ht="15" x14ac:dyDescent="0.2"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2:24" ht="15" x14ac:dyDescent="0.2"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2:24" ht="15" x14ac:dyDescent="0.2"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2:24" ht="15" x14ac:dyDescent="0.2"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2:24" ht="15" x14ac:dyDescent="0.2"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2:24" ht="15" x14ac:dyDescent="0.2"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2:24" ht="15" x14ac:dyDescent="0.2"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2:24" ht="15" x14ac:dyDescent="0.2"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2:24" ht="15" x14ac:dyDescent="0.2"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2:24" ht="15" x14ac:dyDescent="0.2"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2:24" ht="15" x14ac:dyDescent="0.2"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2:24" ht="15" x14ac:dyDescent="0.2"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2:24" ht="15" x14ac:dyDescent="0.2"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2:24" ht="15" x14ac:dyDescent="0.2"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2:24" ht="15" x14ac:dyDescent="0.2"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2:24" ht="15" x14ac:dyDescent="0.2"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2:24" ht="15" x14ac:dyDescent="0.2"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2:24" ht="15" x14ac:dyDescent="0.2"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2:24" ht="15" x14ac:dyDescent="0.2"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2:24" ht="15" x14ac:dyDescent="0.2"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2:24" ht="15" x14ac:dyDescent="0.2"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2:24" ht="15" x14ac:dyDescent="0.2"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2:24" ht="15" x14ac:dyDescent="0.2"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2:24" ht="15" x14ac:dyDescent="0.2"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2:24" ht="15" x14ac:dyDescent="0.2"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2:24" ht="15" x14ac:dyDescent="0.2"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2:24" ht="15" x14ac:dyDescent="0.2"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2:24" ht="15" x14ac:dyDescent="0.2"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2:24" ht="15" x14ac:dyDescent="0.2"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2:24" ht="15" x14ac:dyDescent="0.2"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2:24" ht="15" x14ac:dyDescent="0.2"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2:24" ht="15" x14ac:dyDescent="0.2"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2:24" ht="15" x14ac:dyDescent="0.2"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2:24" ht="15" x14ac:dyDescent="0.2"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2:24" ht="15" x14ac:dyDescent="0.2"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2:24" ht="15" x14ac:dyDescent="0.2"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2:24" ht="15" x14ac:dyDescent="0.2"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2:24" ht="15" x14ac:dyDescent="0.2"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2:24" ht="15" x14ac:dyDescent="0.2"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2:24" ht="15" x14ac:dyDescent="0.2"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2:24" ht="15" x14ac:dyDescent="0.2"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2:24" ht="15" x14ac:dyDescent="0.2"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2:24" ht="15" x14ac:dyDescent="0.2"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2:24" ht="15" x14ac:dyDescent="0.2"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2:24" ht="15" x14ac:dyDescent="0.2"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2:24" ht="15" x14ac:dyDescent="0.2"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2:24" ht="15" x14ac:dyDescent="0.2"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2:24" ht="15" x14ac:dyDescent="0.2"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2:24" ht="15" x14ac:dyDescent="0.2"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2:24" ht="15" x14ac:dyDescent="0.2"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2:24" ht="15" x14ac:dyDescent="0.2"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2:24" ht="15" x14ac:dyDescent="0.2"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2:24" ht="15" x14ac:dyDescent="0.2"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2:24" ht="15" x14ac:dyDescent="0.2"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2:24" ht="15" x14ac:dyDescent="0.2"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2:24" ht="15" x14ac:dyDescent="0.2"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2:24" ht="15" x14ac:dyDescent="0.2"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2:24" ht="15" x14ac:dyDescent="0.2"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2:24" ht="15" x14ac:dyDescent="0.2"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2:24" ht="15" x14ac:dyDescent="0.2"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2:24" ht="15" x14ac:dyDescent="0.2"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2:24" ht="15" x14ac:dyDescent="0.2"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2:24" ht="15" x14ac:dyDescent="0.2"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2:24" ht="15" x14ac:dyDescent="0.2"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2:24" ht="15" x14ac:dyDescent="0.2"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2:24" ht="15" x14ac:dyDescent="0.2"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2:24" ht="15" x14ac:dyDescent="0.2"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2:24" ht="15" x14ac:dyDescent="0.2"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2:24" ht="15" x14ac:dyDescent="0.2"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2:24" ht="15" x14ac:dyDescent="0.2"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2:24" ht="15" x14ac:dyDescent="0.2"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2:24" ht="15" x14ac:dyDescent="0.2"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2:24" ht="15" x14ac:dyDescent="0.2"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2:24" ht="15" x14ac:dyDescent="0.2"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2:24" ht="15" x14ac:dyDescent="0.2"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2:24" ht="15" x14ac:dyDescent="0.2"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2:24" ht="15" x14ac:dyDescent="0.2"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2:24" ht="15" x14ac:dyDescent="0.2"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2:24" ht="15" x14ac:dyDescent="0.2"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2:24" ht="15" x14ac:dyDescent="0.2"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2:24" ht="15" x14ac:dyDescent="0.2"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2:24" ht="15" x14ac:dyDescent="0.2"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2:24" ht="15" x14ac:dyDescent="0.2"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2:24" ht="15" x14ac:dyDescent="0.2"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2:24" ht="15" x14ac:dyDescent="0.2"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2:24" ht="15" x14ac:dyDescent="0.2"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2:24" ht="15" x14ac:dyDescent="0.2"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2:24" ht="15" x14ac:dyDescent="0.2"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2:24" ht="15" x14ac:dyDescent="0.2"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2:24" ht="15" x14ac:dyDescent="0.2"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2:24" ht="15" x14ac:dyDescent="0.2"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2:24" ht="15" x14ac:dyDescent="0.2"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2:24" ht="15" x14ac:dyDescent="0.2"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2:24" ht="15" x14ac:dyDescent="0.2"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2:24" ht="15" x14ac:dyDescent="0.2"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2:24" ht="15" x14ac:dyDescent="0.2"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2:24" ht="15" x14ac:dyDescent="0.2"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2:24" ht="15" x14ac:dyDescent="0.2"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2:24" ht="15" x14ac:dyDescent="0.2"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2:24" ht="15" x14ac:dyDescent="0.2"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2:24" ht="15" x14ac:dyDescent="0.2"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2:24" ht="15" x14ac:dyDescent="0.2"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2:24" ht="15" x14ac:dyDescent="0.2"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2:24" ht="15" x14ac:dyDescent="0.2"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2:24" ht="15" x14ac:dyDescent="0.2"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2:24" ht="15" x14ac:dyDescent="0.2"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2:24" ht="15" x14ac:dyDescent="0.2"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2:24" ht="15" x14ac:dyDescent="0.2"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2:24" ht="15" x14ac:dyDescent="0.2"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2:24" ht="15" x14ac:dyDescent="0.2"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2:24" ht="15" x14ac:dyDescent="0.2"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2:24" ht="15" x14ac:dyDescent="0.2"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2:24" ht="15" x14ac:dyDescent="0.2"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2:24" ht="15" x14ac:dyDescent="0.2"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2:24" ht="15" x14ac:dyDescent="0.2"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2:24" ht="15" x14ac:dyDescent="0.2"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2:24" ht="15" x14ac:dyDescent="0.2"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2:24" ht="15" x14ac:dyDescent="0.2"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2:24" ht="15" x14ac:dyDescent="0.2"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2:24" ht="15" x14ac:dyDescent="0.2"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2:24" ht="15" x14ac:dyDescent="0.2"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2:24" ht="15" x14ac:dyDescent="0.2"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2:24" ht="15" x14ac:dyDescent="0.2"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2:24" ht="15" x14ac:dyDescent="0.2"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2:24" ht="15" x14ac:dyDescent="0.2"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2:24" ht="15" x14ac:dyDescent="0.2"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2:24" ht="15" x14ac:dyDescent="0.2"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2:24" ht="15" x14ac:dyDescent="0.2"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2:24" ht="15" x14ac:dyDescent="0.2"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2:24" ht="15" x14ac:dyDescent="0.2"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2:24" ht="15" x14ac:dyDescent="0.2"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2:24" ht="15" x14ac:dyDescent="0.2"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2:24" ht="15" x14ac:dyDescent="0.2"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2:24" ht="15" x14ac:dyDescent="0.2"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2:24" ht="15" x14ac:dyDescent="0.2"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2:24" ht="15" x14ac:dyDescent="0.2"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2:24" ht="15" x14ac:dyDescent="0.2"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2:24" ht="15" x14ac:dyDescent="0.2"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2:24" ht="15" x14ac:dyDescent="0.2"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2:24" ht="15" x14ac:dyDescent="0.2"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2:24" ht="15" x14ac:dyDescent="0.2"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2:24" ht="15" x14ac:dyDescent="0.2"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2:24" ht="15" x14ac:dyDescent="0.2"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2:24" ht="15" x14ac:dyDescent="0.2"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2:24" ht="15" x14ac:dyDescent="0.2"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2:24" ht="15" x14ac:dyDescent="0.2"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2:24" ht="15" x14ac:dyDescent="0.2"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2:24" ht="15" x14ac:dyDescent="0.2"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2:24" ht="15" x14ac:dyDescent="0.2"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2:24" ht="15" x14ac:dyDescent="0.2"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2:24" ht="15" x14ac:dyDescent="0.2"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2:24" ht="15" x14ac:dyDescent="0.2"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2:24" ht="15" x14ac:dyDescent="0.2"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2:24" ht="15" x14ac:dyDescent="0.2"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2:24" ht="15" x14ac:dyDescent="0.2"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2:24" ht="15" x14ac:dyDescent="0.2"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2:24" ht="15" x14ac:dyDescent="0.2"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2:24" ht="15" x14ac:dyDescent="0.2"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2:24" ht="15" x14ac:dyDescent="0.2"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2:24" ht="15" x14ac:dyDescent="0.2"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2:24" ht="15" x14ac:dyDescent="0.2"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2:24" ht="15" x14ac:dyDescent="0.2"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2:24" ht="15" x14ac:dyDescent="0.2"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2:24" ht="15" x14ac:dyDescent="0.2"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2:24" ht="15" x14ac:dyDescent="0.2"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2:24" ht="15" x14ac:dyDescent="0.2"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2:24" ht="15" x14ac:dyDescent="0.2"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2:24" ht="15" x14ac:dyDescent="0.2"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2:24" ht="15" x14ac:dyDescent="0.2"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2:24" ht="15" x14ac:dyDescent="0.2"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2:24" ht="15" x14ac:dyDescent="0.2"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2:24" ht="15" x14ac:dyDescent="0.2"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2:24" ht="15" x14ac:dyDescent="0.2"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2:24" ht="15" x14ac:dyDescent="0.2"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2:24" ht="15" x14ac:dyDescent="0.2"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2:24" ht="15" x14ac:dyDescent="0.2"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2:24" ht="15" x14ac:dyDescent="0.2"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2:24" ht="15" x14ac:dyDescent="0.2"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2:24" ht="15" x14ac:dyDescent="0.2"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2:24" ht="15" x14ac:dyDescent="0.2"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2:24" ht="15" x14ac:dyDescent="0.2"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2:24" ht="15" x14ac:dyDescent="0.2"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2:24" ht="15" x14ac:dyDescent="0.2"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2:24" ht="15" x14ac:dyDescent="0.2"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2:24" ht="15" x14ac:dyDescent="0.2"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2:24" ht="15" x14ac:dyDescent="0.2"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2:24" ht="15" x14ac:dyDescent="0.2"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2:24" ht="15" x14ac:dyDescent="0.2"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2:24" ht="15" x14ac:dyDescent="0.2"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2:24" ht="15" x14ac:dyDescent="0.2"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2:24" ht="15" x14ac:dyDescent="0.2"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2:24" ht="15" x14ac:dyDescent="0.2"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2:24" ht="15" x14ac:dyDescent="0.2"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2:24" ht="15" x14ac:dyDescent="0.2"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2:24" ht="15" x14ac:dyDescent="0.2"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2:24" ht="15" x14ac:dyDescent="0.2"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2:24" ht="15" x14ac:dyDescent="0.2"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2:24" ht="15" x14ac:dyDescent="0.2"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2:24" ht="15" x14ac:dyDescent="0.2"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2:24" ht="15" x14ac:dyDescent="0.2"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2:24" ht="15" x14ac:dyDescent="0.2"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2:24" ht="15" x14ac:dyDescent="0.2"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2:24" ht="15" x14ac:dyDescent="0.2"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2:24" ht="15" x14ac:dyDescent="0.2"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2:24" ht="15" x14ac:dyDescent="0.2"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2:24" ht="15" x14ac:dyDescent="0.2"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2:24" ht="15" x14ac:dyDescent="0.2"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2:24" ht="15" x14ac:dyDescent="0.2"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2:24" ht="15" x14ac:dyDescent="0.2"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2:24" ht="15" x14ac:dyDescent="0.2"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2:24" ht="15" x14ac:dyDescent="0.2"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2:24" ht="15" x14ac:dyDescent="0.2"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2:24" ht="15" x14ac:dyDescent="0.2"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2:24" ht="15" x14ac:dyDescent="0.2"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2:24" ht="15" x14ac:dyDescent="0.2"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2:24" ht="15" x14ac:dyDescent="0.2"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2:24" ht="15" x14ac:dyDescent="0.2"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2:24" ht="15" x14ac:dyDescent="0.2"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2:24" ht="15" x14ac:dyDescent="0.2"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2:24" ht="15" x14ac:dyDescent="0.2"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2:24" ht="15" x14ac:dyDescent="0.2"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2:24" ht="15" x14ac:dyDescent="0.2"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2:24" ht="15" x14ac:dyDescent="0.2"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2:24" ht="15" x14ac:dyDescent="0.2"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2:24" ht="15" x14ac:dyDescent="0.2"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2:24" ht="15" x14ac:dyDescent="0.2"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2:24" ht="15" x14ac:dyDescent="0.2"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2:24" ht="15" x14ac:dyDescent="0.2"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2:24" ht="15" x14ac:dyDescent="0.2"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2:24" ht="15" x14ac:dyDescent="0.2"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2:24" ht="15" x14ac:dyDescent="0.2"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2:24" ht="15" x14ac:dyDescent="0.2"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2:24" ht="15" x14ac:dyDescent="0.2"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2:24" ht="15" x14ac:dyDescent="0.2"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2:24" ht="15" x14ac:dyDescent="0.2"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2:24" ht="15" x14ac:dyDescent="0.2"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2:24" ht="15" x14ac:dyDescent="0.2"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2:24" ht="15" x14ac:dyDescent="0.2"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2:24" ht="15" x14ac:dyDescent="0.2"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2:24" ht="15" x14ac:dyDescent="0.2"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2:24" ht="15" x14ac:dyDescent="0.2"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2:24" ht="15" x14ac:dyDescent="0.2"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2:24" ht="15" x14ac:dyDescent="0.2"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2:24" ht="15" x14ac:dyDescent="0.2"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2:24" ht="15" x14ac:dyDescent="0.2"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2:24" ht="15" x14ac:dyDescent="0.2"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2:24" ht="15" x14ac:dyDescent="0.2"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2:24" ht="15" x14ac:dyDescent="0.2"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2:24" ht="15" x14ac:dyDescent="0.2"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2:24" ht="15" x14ac:dyDescent="0.2"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2:24" ht="15" x14ac:dyDescent="0.2"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2:24" ht="15" x14ac:dyDescent="0.2"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2:24" ht="15" x14ac:dyDescent="0.2"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2:24" ht="15" x14ac:dyDescent="0.2"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2:24" ht="15" x14ac:dyDescent="0.2"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2:24" ht="15" x14ac:dyDescent="0.2"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2:24" ht="15" x14ac:dyDescent="0.2"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2:24" ht="15" x14ac:dyDescent="0.2"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2:24" ht="15" x14ac:dyDescent="0.2"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2:24" ht="15" x14ac:dyDescent="0.2"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2:24" ht="15" x14ac:dyDescent="0.2"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2:24" ht="15" x14ac:dyDescent="0.2"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2:24" ht="15" x14ac:dyDescent="0.2"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2:24" ht="15" x14ac:dyDescent="0.2"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2:24" ht="15" x14ac:dyDescent="0.2"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2:24" ht="15" x14ac:dyDescent="0.2"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2:24" ht="15" x14ac:dyDescent="0.2"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2:24" ht="15" x14ac:dyDescent="0.2"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2:24" ht="15" x14ac:dyDescent="0.2"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2:24" ht="15" x14ac:dyDescent="0.2"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2:24" ht="15" x14ac:dyDescent="0.2"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2:24" ht="15" x14ac:dyDescent="0.2"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2:24" ht="15" x14ac:dyDescent="0.2"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2:24" ht="15" x14ac:dyDescent="0.2"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2:24" ht="15" x14ac:dyDescent="0.2"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2:24" ht="15" x14ac:dyDescent="0.2"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2:24" ht="15" x14ac:dyDescent="0.2"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2:24" ht="15" x14ac:dyDescent="0.2"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2:24" ht="15" x14ac:dyDescent="0.2"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2:24" ht="15" x14ac:dyDescent="0.2"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2:24" ht="15" x14ac:dyDescent="0.2"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2:24" ht="15" x14ac:dyDescent="0.2"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2:24" ht="15" x14ac:dyDescent="0.2"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2:24" ht="15" x14ac:dyDescent="0.2"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2:24" ht="15" x14ac:dyDescent="0.2"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2:24" ht="15" x14ac:dyDescent="0.2"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2:24" ht="15" x14ac:dyDescent="0.2"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2:24" ht="15" x14ac:dyDescent="0.2"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2:24" ht="15" x14ac:dyDescent="0.2"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2:24" ht="15" x14ac:dyDescent="0.2"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2:24" ht="15" x14ac:dyDescent="0.2"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2:24" ht="15" x14ac:dyDescent="0.2"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2:24" ht="15" x14ac:dyDescent="0.2"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2:24" ht="15" x14ac:dyDescent="0.2"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2:24" ht="15" x14ac:dyDescent="0.2"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2:24" ht="15" x14ac:dyDescent="0.2"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2:24" ht="15" x14ac:dyDescent="0.2"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2:24" ht="15" x14ac:dyDescent="0.2"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2:24" ht="15" x14ac:dyDescent="0.2"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2:24" ht="15" x14ac:dyDescent="0.2"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2:24" ht="15" x14ac:dyDescent="0.2"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2:24" ht="15" x14ac:dyDescent="0.2"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2:24" ht="15" x14ac:dyDescent="0.2"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2:24" ht="15" x14ac:dyDescent="0.2"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2:24" ht="15" x14ac:dyDescent="0.2"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2:24" ht="15" x14ac:dyDescent="0.2"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2:24" ht="15" x14ac:dyDescent="0.2"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2:24" ht="15" x14ac:dyDescent="0.2"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2:24" ht="15" x14ac:dyDescent="0.2"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2:24" ht="15" x14ac:dyDescent="0.2"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2:24" ht="15" x14ac:dyDescent="0.2"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2:24" ht="15" x14ac:dyDescent="0.2"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2:24" ht="15" x14ac:dyDescent="0.2"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2:24" ht="15" x14ac:dyDescent="0.2"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2:24" ht="15" x14ac:dyDescent="0.2"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2:24" ht="15" x14ac:dyDescent="0.2"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2:24" ht="15" x14ac:dyDescent="0.2"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2:24" ht="15" x14ac:dyDescent="0.2"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2:24" ht="15" x14ac:dyDescent="0.2"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2:24" ht="15" x14ac:dyDescent="0.2"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2:24" ht="15" x14ac:dyDescent="0.2"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2:24" ht="15" x14ac:dyDescent="0.2"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2:24" ht="15" x14ac:dyDescent="0.2"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2:24" ht="15" x14ac:dyDescent="0.2"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2:24" ht="15" x14ac:dyDescent="0.2"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2:24" ht="15" x14ac:dyDescent="0.2"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2:24" ht="15" x14ac:dyDescent="0.2"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2:24" ht="15" x14ac:dyDescent="0.2"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2:24" ht="15" x14ac:dyDescent="0.2"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2:24" ht="15" x14ac:dyDescent="0.2"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2:24" ht="15" x14ac:dyDescent="0.2"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2:24" ht="15" x14ac:dyDescent="0.2"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2:24" ht="15" x14ac:dyDescent="0.2"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2:24" ht="15" x14ac:dyDescent="0.2"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2:24" ht="15" x14ac:dyDescent="0.2"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2:24" ht="15" x14ac:dyDescent="0.2"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2:24" ht="15" x14ac:dyDescent="0.2"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2:24" ht="15" x14ac:dyDescent="0.2"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2:24" ht="15" x14ac:dyDescent="0.2"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2:24" ht="15" x14ac:dyDescent="0.2"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2:24" ht="15" x14ac:dyDescent="0.2"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2:24" ht="15" x14ac:dyDescent="0.2"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2:24" ht="15" x14ac:dyDescent="0.2"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2:24" ht="15" x14ac:dyDescent="0.2"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2:24" ht="15" x14ac:dyDescent="0.2"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2:24" ht="15" x14ac:dyDescent="0.2"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2:24" ht="15" x14ac:dyDescent="0.2"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2:24" ht="15" x14ac:dyDescent="0.2"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2:24" ht="15" x14ac:dyDescent="0.2"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2:24" ht="15" x14ac:dyDescent="0.2"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2:24" ht="15" x14ac:dyDescent="0.2"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2:24" ht="15" x14ac:dyDescent="0.2"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2:24" ht="15" x14ac:dyDescent="0.2"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2:24" ht="15" x14ac:dyDescent="0.2"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2:24" ht="15" x14ac:dyDescent="0.2"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2:24" ht="15" x14ac:dyDescent="0.2"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2:24" ht="15" x14ac:dyDescent="0.2"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2:24" ht="15" x14ac:dyDescent="0.2"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2:24" ht="15" x14ac:dyDescent="0.2"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2:24" ht="15" x14ac:dyDescent="0.2"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2:24" ht="15" x14ac:dyDescent="0.2"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2:24" ht="15" x14ac:dyDescent="0.2"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2:24" ht="15" x14ac:dyDescent="0.2"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2:24" ht="15" x14ac:dyDescent="0.2"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2:24" ht="15" x14ac:dyDescent="0.2"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2:24" ht="15" x14ac:dyDescent="0.2"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2:24" ht="15" x14ac:dyDescent="0.2"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2:24" ht="15" x14ac:dyDescent="0.2"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2:24" ht="15" x14ac:dyDescent="0.2"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2:24" ht="15" x14ac:dyDescent="0.2"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2:24" ht="15" x14ac:dyDescent="0.2"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2:24" ht="15" x14ac:dyDescent="0.2"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2:24" ht="15" x14ac:dyDescent="0.2"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2:24" ht="15" x14ac:dyDescent="0.2"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2:24" ht="15" x14ac:dyDescent="0.2"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2:24" ht="15" x14ac:dyDescent="0.2"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2:24" ht="15" x14ac:dyDescent="0.2"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2:24" ht="15" x14ac:dyDescent="0.2"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2:24" ht="15" x14ac:dyDescent="0.2"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2:24" ht="15" x14ac:dyDescent="0.2"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2:24" ht="15" x14ac:dyDescent="0.2"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2:24" ht="15" x14ac:dyDescent="0.2"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2:24" ht="15" x14ac:dyDescent="0.2"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2:24" ht="15" x14ac:dyDescent="0.2"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2:24" ht="15" x14ac:dyDescent="0.2"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2:24" ht="15" x14ac:dyDescent="0.2"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2:24" ht="15" x14ac:dyDescent="0.2"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2:24" ht="15" x14ac:dyDescent="0.2"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2:24" ht="15" x14ac:dyDescent="0.2"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2:24" ht="15" x14ac:dyDescent="0.2"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2:24" ht="15" x14ac:dyDescent="0.2"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2:24" ht="15" x14ac:dyDescent="0.2"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2:24" ht="15" x14ac:dyDescent="0.2"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2:24" ht="15" x14ac:dyDescent="0.2"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2:24" ht="15" x14ac:dyDescent="0.2"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2:24" ht="15" x14ac:dyDescent="0.2"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2:24" ht="15" x14ac:dyDescent="0.2"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2:24" ht="15" x14ac:dyDescent="0.2"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2:24" ht="15" x14ac:dyDescent="0.2"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2:24" ht="15" x14ac:dyDescent="0.2"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2:24" ht="15" x14ac:dyDescent="0.2"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2:24" ht="15" x14ac:dyDescent="0.2"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2:24" ht="15" x14ac:dyDescent="0.2"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2:24" ht="15" x14ac:dyDescent="0.2"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2:24" ht="15" x14ac:dyDescent="0.2"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2:24" ht="15" x14ac:dyDescent="0.2"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2:24" ht="15" x14ac:dyDescent="0.2"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2:24" ht="15" x14ac:dyDescent="0.2"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2:24" ht="15" x14ac:dyDescent="0.2"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2:24" ht="15" x14ac:dyDescent="0.2"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2:24" ht="15" x14ac:dyDescent="0.2"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2:24" ht="15" x14ac:dyDescent="0.2"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2:24" ht="15" x14ac:dyDescent="0.2"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2:24" ht="15" x14ac:dyDescent="0.2"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2:24" ht="15" x14ac:dyDescent="0.2"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2:24" ht="15" x14ac:dyDescent="0.2"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2:24" ht="15" x14ac:dyDescent="0.2"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2:24" ht="15" x14ac:dyDescent="0.2"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2:24" ht="15" x14ac:dyDescent="0.2"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2:24" ht="15" x14ac:dyDescent="0.2"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2:24" ht="15" x14ac:dyDescent="0.2"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2:24" ht="15" x14ac:dyDescent="0.2"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2:24" ht="15" x14ac:dyDescent="0.2"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2:24" ht="15" x14ac:dyDescent="0.2"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2:24" ht="15" x14ac:dyDescent="0.2"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2:24" ht="15" x14ac:dyDescent="0.2"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2:24" ht="15" x14ac:dyDescent="0.2"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2:24" ht="15" x14ac:dyDescent="0.2"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2:24" ht="15" x14ac:dyDescent="0.2"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2:24" ht="15" x14ac:dyDescent="0.2"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2:24" ht="15" x14ac:dyDescent="0.2"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2:24" ht="15" x14ac:dyDescent="0.2"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2:24" ht="15" x14ac:dyDescent="0.2"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2:24" ht="15" x14ac:dyDescent="0.2"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2:24" ht="15" x14ac:dyDescent="0.2"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2:24" ht="15" x14ac:dyDescent="0.2"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2:24" ht="15" x14ac:dyDescent="0.2"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2:24" ht="15" x14ac:dyDescent="0.2"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2:24" ht="15" x14ac:dyDescent="0.2"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2:24" ht="15" x14ac:dyDescent="0.2"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2:24" ht="15" x14ac:dyDescent="0.2"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2:24" ht="15" x14ac:dyDescent="0.2"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2:24" ht="15" x14ac:dyDescent="0.2"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2:24" ht="15" x14ac:dyDescent="0.2"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2:24" ht="15" x14ac:dyDescent="0.2"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2:24" ht="15" x14ac:dyDescent="0.2"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2:24" ht="15" x14ac:dyDescent="0.2"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2:24" ht="15" x14ac:dyDescent="0.2"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2:24" ht="15" x14ac:dyDescent="0.2"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2:24" ht="15" x14ac:dyDescent="0.2"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2:24" ht="15" x14ac:dyDescent="0.2"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2:24" ht="15" x14ac:dyDescent="0.2"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2:24" ht="15" x14ac:dyDescent="0.2"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2:24" ht="15" x14ac:dyDescent="0.2"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2:24" ht="15" x14ac:dyDescent="0.2"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2:24" ht="15" x14ac:dyDescent="0.2"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2:24" ht="15" x14ac:dyDescent="0.2"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2:24" ht="15" x14ac:dyDescent="0.2"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2:24" ht="15" x14ac:dyDescent="0.2"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2:24" ht="15" x14ac:dyDescent="0.2"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2:24" ht="15" x14ac:dyDescent="0.2"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2:24" ht="15" x14ac:dyDescent="0.2"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2:24" ht="15" x14ac:dyDescent="0.2"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2:24" ht="15" x14ac:dyDescent="0.2"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2:24" ht="15" x14ac:dyDescent="0.2"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2:24" ht="15" x14ac:dyDescent="0.2"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2:24" ht="15" x14ac:dyDescent="0.2"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2:24" ht="15" x14ac:dyDescent="0.2"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2:24" ht="15" x14ac:dyDescent="0.2"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2:24" ht="15" x14ac:dyDescent="0.2"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2:24" ht="15" x14ac:dyDescent="0.2"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2:24" ht="15" x14ac:dyDescent="0.2"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2:24" ht="15" x14ac:dyDescent="0.2"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2:24" ht="15" x14ac:dyDescent="0.2"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2:24" ht="15" x14ac:dyDescent="0.2"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2:24" ht="15" x14ac:dyDescent="0.2"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2:24" ht="15" x14ac:dyDescent="0.2"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2:24" ht="15" x14ac:dyDescent="0.2"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2:24" ht="15" x14ac:dyDescent="0.2"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2:24" ht="15" x14ac:dyDescent="0.2"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2:24" ht="15" x14ac:dyDescent="0.2"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2:24" ht="15" x14ac:dyDescent="0.2"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2:24" ht="15" x14ac:dyDescent="0.2"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2:24" ht="15" x14ac:dyDescent="0.2"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2:24" ht="15" x14ac:dyDescent="0.2"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2:24" ht="15" x14ac:dyDescent="0.2"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2:24" ht="15" x14ac:dyDescent="0.2"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2:24" ht="15" x14ac:dyDescent="0.2"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2:24" ht="15" x14ac:dyDescent="0.2"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2:24" ht="15" x14ac:dyDescent="0.2"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2:24" ht="15" x14ac:dyDescent="0.2"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2:24" ht="15" x14ac:dyDescent="0.2"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2:24" ht="15" x14ac:dyDescent="0.2"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2:24" ht="15" x14ac:dyDescent="0.2"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2:24" ht="15" x14ac:dyDescent="0.2"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2:24" ht="15" x14ac:dyDescent="0.2"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2:24" ht="15" x14ac:dyDescent="0.2"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2:24" ht="15" x14ac:dyDescent="0.2"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2:24" ht="15" x14ac:dyDescent="0.2"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2:24" ht="15" x14ac:dyDescent="0.2"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2:24" ht="15" x14ac:dyDescent="0.2"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2:24" ht="15" x14ac:dyDescent="0.2"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2:24" ht="15" x14ac:dyDescent="0.2"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2:24" ht="15" x14ac:dyDescent="0.2"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2:24" ht="15" x14ac:dyDescent="0.2"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2:24" ht="15" x14ac:dyDescent="0.2"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2:24" ht="15" x14ac:dyDescent="0.2"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2:24" ht="15" x14ac:dyDescent="0.2"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2:24" ht="15" x14ac:dyDescent="0.2"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2:24" ht="15" x14ac:dyDescent="0.2"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2:24" ht="15" x14ac:dyDescent="0.2"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2:24" ht="15" x14ac:dyDescent="0.2"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2:24" ht="15" x14ac:dyDescent="0.2"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2:24" ht="15" x14ac:dyDescent="0.2"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2:24" ht="15" x14ac:dyDescent="0.2"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2:24" ht="15" x14ac:dyDescent="0.2"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2:24" ht="15" x14ac:dyDescent="0.2"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2:24" ht="15" x14ac:dyDescent="0.2"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2:24" ht="15" x14ac:dyDescent="0.2"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2:24" ht="15" x14ac:dyDescent="0.2"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2:24" ht="15" x14ac:dyDescent="0.2"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2:24" ht="15" x14ac:dyDescent="0.2"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2:24" ht="15" x14ac:dyDescent="0.2"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2:24" ht="15" x14ac:dyDescent="0.2"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2:24" ht="15" x14ac:dyDescent="0.2"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2:24" ht="15" x14ac:dyDescent="0.2"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2:24" ht="15" x14ac:dyDescent="0.2"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2:24" ht="15" x14ac:dyDescent="0.2"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2:24" ht="15" x14ac:dyDescent="0.2"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2:24" ht="15" x14ac:dyDescent="0.2"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2:24" ht="15" x14ac:dyDescent="0.2"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2:24" ht="15" x14ac:dyDescent="0.2"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2:24" ht="15" x14ac:dyDescent="0.2"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2:24" ht="15" x14ac:dyDescent="0.2"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2:24" ht="15" x14ac:dyDescent="0.2"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2:24" ht="15" x14ac:dyDescent="0.2"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2:24" ht="15" x14ac:dyDescent="0.2"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2:24" ht="15" x14ac:dyDescent="0.2"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2:24" ht="15" x14ac:dyDescent="0.2"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2:24" ht="15" x14ac:dyDescent="0.2"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2:24" ht="15" x14ac:dyDescent="0.2"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2:24" ht="15" x14ac:dyDescent="0.2"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</sheetPr>
  <dimension ref="A1:AM1000"/>
  <sheetViews>
    <sheetView workbookViewId="0">
      <selection activeCell="B45" sqref="B45"/>
    </sheetView>
  </sheetViews>
  <sheetFormatPr baseColWidth="10" defaultColWidth="14.3984375" defaultRowHeight="15.75" customHeight="1" x14ac:dyDescent="0.2"/>
  <cols>
    <col min="1" max="1" width="16.59765625" style="5" customWidth="1"/>
    <col min="2" max="2" width="24" style="4" customWidth="1"/>
    <col min="3" max="3" width="25" customWidth="1"/>
    <col min="4" max="4" width="25.19921875" customWidth="1"/>
    <col min="5" max="5" width="25.59765625" customWidth="1"/>
    <col min="6" max="7" width="22.19921875" bestFit="1" customWidth="1"/>
    <col min="8" max="8" width="23.796875" bestFit="1" customWidth="1"/>
    <col min="9" max="14" width="22.19921875" bestFit="1" customWidth="1"/>
    <col min="15" max="15" width="22.59765625" bestFit="1" customWidth="1"/>
    <col min="16" max="16" width="22.19921875" bestFit="1" customWidth="1"/>
    <col min="17" max="17" width="22.3984375" bestFit="1" customWidth="1"/>
    <col min="18" max="23" width="22.19921875" bestFit="1" customWidth="1"/>
    <col min="24" max="24" width="23.796875" bestFit="1" customWidth="1"/>
    <col min="25" max="25" width="21.59765625" bestFit="1" customWidth="1"/>
    <col min="26" max="27" width="21.19921875" bestFit="1" customWidth="1"/>
    <col min="28" max="28" width="22.3984375" bestFit="1" customWidth="1"/>
    <col min="29" max="30" width="22.19921875" bestFit="1" customWidth="1"/>
    <col min="31" max="31" width="21.19921875" bestFit="1" customWidth="1"/>
    <col min="32" max="32" width="22.796875" bestFit="1" customWidth="1"/>
    <col min="33" max="33" width="22" bestFit="1" customWidth="1"/>
    <col min="34" max="35" width="22.3984375" bestFit="1" customWidth="1"/>
    <col min="36" max="36" width="21.3984375" bestFit="1" customWidth="1"/>
    <col min="37" max="39" width="18.59765625" bestFit="1" customWidth="1"/>
  </cols>
  <sheetData>
    <row r="1" spans="1:39" ht="15" x14ac:dyDescent="0.2">
      <c r="A1" s="46" t="s">
        <v>1</v>
      </c>
      <c r="B1" s="46" t="s">
        <v>101</v>
      </c>
      <c r="C1" s="46" t="s">
        <v>105</v>
      </c>
      <c r="D1" s="46" t="s">
        <v>136</v>
      </c>
      <c r="E1" s="46" t="s">
        <v>146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9" ht="15.75" customHeight="1" x14ac:dyDescent="0.25">
      <c r="A2" s="36" t="s">
        <v>2</v>
      </c>
      <c r="B2" s="38">
        <v>160517504300</v>
      </c>
      <c r="C2" s="45">
        <v>567240095972</v>
      </c>
      <c r="D2" s="38">
        <v>750282200000</v>
      </c>
      <c r="E2" s="38">
        <v>1016228072650.0029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2"/>
    </row>
    <row r="3" spans="1:39" ht="15.75" customHeight="1" x14ac:dyDescent="0.2">
      <c r="A3" s="36" t="s">
        <v>3</v>
      </c>
      <c r="B3" s="38">
        <v>175019054060</v>
      </c>
      <c r="C3" s="38">
        <v>225893690626</v>
      </c>
      <c r="D3" s="38">
        <v>486218047600</v>
      </c>
      <c r="E3" s="38">
        <v>583331380496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39" ht="15.75" customHeight="1" x14ac:dyDescent="0.2">
      <c r="A4" s="36" t="s">
        <v>4</v>
      </c>
      <c r="B4" s="38">
        <v>700000000000</v>
      </c>
      <c r="C4" s="38">
        <v>849970759990</v>
      </c>
      <c r="D4" s="38">
        <v>955000000000</v>
      </c>
      <c r="E4" s="38">
        <v>1584271856630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39" ht="15.75" customHeight="1" x14ac:dyDescent="0.2">
      <c r="A5" s="36" t="s">
        <v>5</v>
      </c>
      <c r="B5" s="38">
        <v>260394690431.45596</v>
      </c>
      <c r="C5" s="38">
        <v>410132225272.08997</v>
      </c>
      <c r="D5" s="38">
        <v>606991849118.13</v>
      </c>
      <c r="E5" s="38">
        <v>766374487705.17993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39" ht="15" x14ac:dyDescent="0.2">
      <c r="A6" s="36" t="s">
        <v>6</v>
      </c>
      <c r="B6" s="38">
        <v>202641558614.45999</v>
      </c>
      <c r="C6" s="38">
        <v>300219705820.59998</v>
      </c>
      <c r="D6" s="38">
        <v>467085248317.12</v>
      </c>
      <c r="E6" s="38">
        <v>877052907899.99695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39" ht="15" x14ac:dyDescent="0.2">
      <c r="A7" s="36" t="s">
        <v>7</v>
      </c>
      <c r="B7" s="38">
        <v>389371578563.83826</v>
      </c>
      <c r="C7" s="38">
        <v>489443632374</v>
      </c>
      <c r="D7" s="38">
        <v>699573167591.88</v>
      </c>
      <c r="E7" s="38">
        <v>1016071313943.0356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9" ht="15" x14ac:dyDescent="0.2">
      <c r="A8" s="36" t="s">
        <v>8</v>
      </c>
      <c r="B8" s="38">
        <v>179750090122.95001</v>
      </c>
      <c r="C8" s="38">
        <v>225727395206.98001</v>
      </c>
      <c r="D8" s="38">
        <v>550112988930.44995</v>
      </c>
      <c r="E8" s="38">
        <v>695011237687.27026</v>
      </c>
    </row>
    <row r="9" spans="1:39" ht="15" x14ac:dyDescent="0.2">
      <c r="A9" s="36" t="s">
        <v>9</v>
      </c>
      <c r="B9" s="38">
        <v>235331950000</v>
      </c>
      <c r="C9" s="38">
        <v>358732146000</v>
      </c>
      <c r="D9" s="38">
        <v>615857950000</v>
      </c>
      <c r="E9" s="38">
        <v>892448411000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39" ht="15" x14ac:dyDescent="0.2">
      <c r="A10" s="36" t="s">
        <v>10</v>
      </c>
      <c r="B10" s="38">
        <v>328235235531.97998</v>
      </c>
      <c r="C10" s="38">
        <v>296985531978.02002</v>
      </c>
      <c r="D10" s="38">
        <v>538523915715.99994</v>
      </c>
      <c r="E10" s="38">
        <v>961624047275.07983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39" ht="15" x14ac:dyDescent="0.2">
      <c r="A11" s="36" t="s">
        <v>11</v>
      </c>
      <c r="B11" s="38">
        <v>571636910990.98999</v>
      </c>
      <c r="C11" s="38">
        <v>724979313866.98999</v>
      </c>
      <c r="D11" s="38">
        <v>979228818719.09998</v>
      </c>
      <c r="E11" s="38">
        <v>1729881208779.0002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39" ht="15" x14ac:dyDescent="0.2">
      <c r="A12" s="36" t="s">
        <v>12</v>
      </c>
      <c r="B12" s="38">
        <v>139398280640</v>
      </c>
      <c r="C12" s="38">
        <v>202127918907</v>
      </c>
      <c r="D12" s="38">
        <v>444978000000</v>
      </c>
      <c r="E12" s="38">
        <v>885807118099.17993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39" ht="15" x14ac:dyDescent="0.2">
      <c r="A13" s="36" t="s">
        <v>13</v>
      </c>
      <c r="B13" s="38">
        <v>321350006784.16998</v>
      </c>
      <c r="C13" s="38">
        <v>342825969909.21997</v>
      </c>
      <c r="D13" s="38">
        <v>675220058858.51001</v>
      </c>
      <c r="E13" s="38">
        <v>939850000000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39" ht="15" x14ac:dyDescent="0.2">
      <c r="A14" s="36" t="s">
        <v>14</v>
      </c>
      <c r="B14" s="38">
        <v>113572718523.81998</v>
      </c>
      <c r="C14" s="38">
        <v>159572481915.60999</v>
      </c>
      <c r="D14" s="38">
        <v>375790077618.1499</v>
      </c>
      <c r="E14" s="38">
        <v>415572070139.44373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39" ht="15" x14ac:dyDescent="0.2">
      <c r="A15" s="36" t="s">
        <v>15</v>
      </c>
      <c r="B15" s="38">
        <v>166602416770</v>
      </c>
      <c r="C15" s="38">
        <v>521561386000</v>
      </c>
      <c r="D15" s="38">
        <v>971084000000</v>
      </c>
      <c r="E15" s="38">
        <v>1617397465000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39" ht="15" x14ac:dyDescent="0.2">
      <c r="A16" s="36" t="s">
        <v>16</v>
      </c>
      <c r="B16" s="38">
        <v>176016202000</v>
      </c>
      <c r="C16" s="38">
        <v>208064000000</v>
      </c>
      <c r="D16" s="38">
        <v>369902500000</v>
      </c>
      <c r="E16" s="38">
        <v>617956083000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x14ac:dyDescent="0.2">
      <c r="A17" s="36" t="s">
        <v>17</v>
      </c>
      <c r="B17" s="38">
        <v>474466276267</v>
      </c>
      <c r="C17" s="38">
        <v>592234594177</v>
      </c>
      <c r="D17" s="38">
        <v>807088041220</v>
      </c>
      <c r="E17" s="38">
        <v>1474220851856.4702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x14ac:dyDescent="0.2">
      <c r="A18" s="36" t="s">
        <v>18</v>
      </c>
      <c r="B18" s="38">
        <v>185075000000</v>
      </c>
      <c r="C18" s="38">
        <v>298140000000</v>
      </c>
      <c r="D18" s="38">
        <v>698300000000</v>
      </c>
      <c r="E18" s="38">
        <v>901841000000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x14ac:dyDescent="0.2">
      <c r="A19" s="36" t="s">
        <v>19</v>
      </c>
      <c r="B19" s="38">
        <v>376456634924.66003</v>
      </c>
      <c r="C19" s="38">
        <v>458271299477.65002</v>
      </c>
      <c r="D19" s="38">
        <v>790439580083.16003</v>
      </c>
      <c r="E19" s="38">
        <v>985915136574.60864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x14ac:dyDescent="0.2">
      <c r="A20" s="36" t="s">
        <v>20</v>
      </c>
      <c r="B20" s="38">
        <v>268197731000.01001</v>
      </c>
      <c r="C20" s="38">
        <v>437338312787.94</v>
      </c>
      <c r="D20" s="38">
        <v>719755417662.99634</v>
      </c>
      <c r="E20" s="38">
        <v>1477829666130.7065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x14ac:dyDescent="0.2">
      <c r="A21" s="36" t="s">
        <v>21</v>
      </c>
      <c r="B21" s="38">
        <v>289633257963</v>
      </c>
      <c r="C21" s="38">
        <v>454308862113.95996</v>
      </c>
      <c r="D21" s="39">
        <v>692244449513.86987</v>
      </c>
      <c r="E21" s="38">
        <v>897865078282.0498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x14ac:dyDescent="0.2">
      <c r="A22" s="36" t="s">
        <v>22</v>
      </c>
      <c r="B22" s="38">
        <v>166985075110.21002</v>
      </c>
      <c r="C22" s="38">
        <v>250134091757.01001</v>
      </c>
      <c r="D22" s="39">
        <v>580327469023.80005</v>
      </c>
      <c r="E22" s="38">
        <v>642930818157.98486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x14ac:dyDescent="0.2">
      <c r="A23" s="36" t="s">
        <v>23</v>
      </c>
      <c r="B23" s="39">
        <v>172090787292</v>
      </c>
      <c r="C23" s="38">
        <v>258278501339</v>
      </c>
      <c r="D23" s="39">
        <v>582404119489</v>
      </c>
      <c r="E23" s="38">
        <v>820490585443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x14ac:dyDescent="0.2">
      <c r="A24" s="36" t="s">
        <v>24</v>
      </c>
      <c r="B24" s="39">
        <v>188845603561</v>
      </c>
      <c r="C24" s="38">
        <v>292741292132.29999</v>
      </c>
      <c r="D24" s="39">
        <v>584693486684.71997</v>
      </c>
      <c r="E24" s="38">
        <v>656595559298.48999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x14ac:dyDescent="0.2">
      <c r="A25" s="36" t="s">
        <v>25</v>
      </c>
      <c r="B25" s="39">
        <v>1692670649640.3799</v>
      </c>
      <c r="C25" s="38">
        <v>2267976121869</v>
      </c>
      <c r="D25" s="39">
        <v>3366815224143.8203</v>
      </c>
      <c r="E25" s="45">
        <v>4444509776438.002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x14ac:dyDescent="0.2">
      <c r="A26" s="36" t="s">
        <v>26</v>
      </c>
      <c r="B26" s="39">
        <v>149315944207.62</v>
      </c>
      <c r="C26" s="45">
        <v>199879370709.42999</v>
      </c>
      <c r="D26" s="39">
        <v>384317843592.03998</v>
      </c>
      <c r="E26" s="45">
        <v>545182100910.76599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x14ac:dyDescent="0.2">
      <c r="A27" s="36" t="s">
        <v>27</v>
      </c>
      <c r="B27" s="39">
        <v>243647189978.88</v>
      </c>
      <c r="C27" s="45">
        <v>613994801697.64001</v>
      </c>
      <c r="D27" s="39">
        <v>1558887565358</v>
      </c>
      <c r="E27" s="45">
        <v>1073991335895.0013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x14ac:dyDescent="0.2">
      <c r="A28" s="36" t="s">
        <v>28</v>
      </c>
      <c r="B28" s="39">
        <v>472250694447.58008</v>
      </c>
      <c r="C28" s="45">
        <v>703028013431.6499</v>
      </c>
      <c r="D28" s="39">
        <v>1054542020148.0601</v>
      </c>
      <c r="E28" s="45">
        <v>1668997993125.4409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x14ac:dyDescent="0.2">
      <c r="A29" s="36" t="s">
        <v>29</v>
      </c>
      <c r="B29" s="39">
        <v>275979184000</v>
      </c>
      <c r="C29" s="45">
        <v>395257000000</v>
      </c>
      <c r="D29" s="39">
        <v>698659496000</v>
      </c>
      <c r="E29" s="45">
        <v>524410590939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 x14ac:dyDescent="0.2">
      <c r="A30" s="36" t="s">
        <v>30</v>
      </c>
      <c r="B30" s="39">
        <v>138265988140</v>
      </c>
      <c r="C30" s="45">
        <v>273908997410</v>
      </c>
      <c r="D30" s="39">
        <v>427746925170</v>
      </c>
      <c r="E30" s="45">
        <v>723454988670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x14ac:dyDescent="0.2">
      <c r="A31" s="36" t="s">
        <v>31</v>
      </c>
      <c r="B31" s="39">
        <v>310432500000</v>
      </c>
      <c r="C31" s="45">
        <v>438447878548.39001</v>
      </c>
      <c r="D31" s="39">
        <v>684149398399.06006</v>
      </c>
      <c r="E31" s="45">
        <v>892085074480.79248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x14ac:dyDescent="0.2">
      <c r="A32" s="36" t="s">
        <v>32</v>
      </c>
      <c r="B32" s="39">
        <v>149951334591</v>
      </c>
      <c r="C32" s="45">
        <v>314855148553</v>
      </c>
      <c r="D32" s="39">
        <v>499451161110.63</v>
      </c>
      <c r="E32" s="45">
        <v>817509689431.99792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36" ht="15" x14ac:dyDescent="0.2">
      <c r="A33" s="36" t="s">
        <v>33</v>
      </c>
      <c r="B33" s="39">
        <v>544699687798.99762</v>
      </c>
      <c r="C33" s="45">
        <v>793457700560.99878</v>
      </c>
      <c r="D33" s="39">
        <v>1176031452042.1699</v>
      </c>
      <c r="E33" s="45"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36" ht="15" x14ac:dyDescent="0.2">
      <c r="A34" s="36" t="s">
        <v>34</v>
      </c>
      <c r="B34" s="39">
        <v>198501095129.88</v>
      </c>
      <c r="C34" s="45">
        <v>270100355563.34998</v>
      </c>
      <c r="D34" s="39">
        <v>526882142484.39001</v>
      </c>
      <c r="E34" s="45">
        <v>758700526537.88916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36" ht="15" x14ac:dyDescent="0.2">
      <c r="A35" s="36" t="s">
        <v>35</v>
      </c>
      <c r="B35" s="39">
        <v>173234537459.39999</v>
      </c>
      <c r="C35" s="45">
        <v>313388525661.54999</v>
      </c>
      <c r="D35" s="39">
        <v>431398968402.30005</v>
      </c>
      <c r="E35" s="45">
        <v>653631700000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36" ht="15" x14ac:dyDescent="0.2">
      <c r="A36" s="36" t="s">
        <v>36</v>
      </c>
      <c r="B36" s="39">
        <v>163005366000</v>
      </c>
      <c r="C36" s="45">
        <v>216950000000</v>
      </c>
      <c r="D36" s="39">
        <v>320796000000</v>
      </c>
      <c r="E36" s="45">
        <v>515532000000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36" ht="15" x14ac:dyDescent="0.2">
      <c r="A37" s="36" t="s">
        <v>37</v>
      </c>
      <c r="B37" s="39">
        <v>184872119000.73999</v>
      </c>
      <c r="C37" s="45">
        <v>426563671000</v>
      </c>
      <c r="D37" s="39">
        <v>546014575000</v>
      </c>
      <c r="E37" s="45">
        <v>871337000000.0022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36" s="8" customFormat="1" ht="15" x14ac:dyDescent="0.2">
      <c r="A38" s="48" t="s">
        <v>106</v>
      </c>
      <c r="B38" s="49">
        <f>SUM(B2:B37)</f>
        <v>10938414853846.023</v>
      </c>
      <c r="C38" s="49">
        <f>SUM(C2:C37)</f>
        <v>16152730792628.381</v>
      </c>
      <c r="D38" s="49">
        <f>SUM(D2:D37)</f>
        <v>26616794157997.355</v>
      </c>
      <c r="E38" s="49">
        <f>SUM(E2:E37)</f>
        <v>35945909132476.391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36" ht="15" x14ac:dyDescent="0.2"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36" ht="15" x14ac:dyDescent="0.2">
      <c r="A40" s="44"/>
      <c r="B40" s="9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</row>
    <row r="41" spans="1:36" ht="15" x14ac:dyDescent="0.2"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36" ht="15" x14ac:dyDescent="0.2"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36" ht="15" x14ac:dyDescent="0.2"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36" ht="15" x14ac:dyDescent="0.2"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36" ht="15" x14ac:dyDescent="0.2"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36" ht="15" x14ac:dyDescent="0.2"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36" ht="15" x14ac:dyDescent="0.2"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36" ht="15" x14ac:dyDescent="0.2"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ht="15" x14ac:dyDescent="0.2"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 ht="15" x14ac:dyDescent="0.2"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 ht="15" x14ac:dyDescent="0.2"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ht="15" x14ac:dyDescent="0.2"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ht="15" x14ac:dyDescent="0.2"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ht="15" x14ac:dyDescent="0.2"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ht="15" x14ac:dyDescent="0.2"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ht="15" x14ac:dyDescent="0.2"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ht="15" x14ac:dyDescent="0.2"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 ht="15" x14ac:dyDescent="0.2"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2:24" ht="15" x14ac:dyDescent="0.2"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2:24" ht="15" x14ac:dyDescent="0.2"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2:24" ht="15" x14ac:dyDescent="0.2"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2:24" ht="15" x14ac:dyDescent="0.2"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2:24" ht="15" x14ac:dyDescent="0.2"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ht="15" x14ac:dyDescent="0.2"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 ht="15" x14ac:dyDescent="0.2"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 ht="15" x14ac:dyDescent="0.2"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 ht="15" x14ac:dyDescent="0.2"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 ht="15" x14ac:dyDescent="0.2"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 ht="15" x14ac:dyDescent="0.2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 ht="15" x14ac:dyDescent="0.2"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 ht="15" x14ac:dyDescent="0.2"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 ht="15" x14ac:dyDescent="0.2"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 ht="15" x14ac:dyDescent="0.2"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 ht="15" x14ac:dyDescent="0.2"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 ht="15" x14ac:dyDescent="0.2"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 ht="15" x14ac:dyDescent="0.2"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 ht="15" x14ac:dyDescent="0.2"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 ht="15" x14ac:dyDescent="0.2"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 ht="15" x14ac:dyDescent="0.2"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 ht="15" x14ac:dyDescent="0.2"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 ht="15" x14ac:dyDescent="0.2"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 ht="15" x14ac:dyDescent="0.2"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 ht="15" x14ac:dyDescent="0.2"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 ht="15" x14ac:dyDescent="0.2"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 ht="15" x14ac:dyDescent="0.2"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 ht="15" x14ac:dyDescent="0.2"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 ht="15" x14ac:dyDescent="0.2"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 ht="15" x14ac:dyDescent="0.2"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 ht="15" x14ac:dyDescent="0.2"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 ht="15" x14ac:dyDescent="0.2"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 ht="15" x14ac:dyDescent="0.2"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 ht="15" x14ac:dyDescent="0.2"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2:24" ht="15" x14ac:dyDescent="0.2"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2:24" ht="15" x14ac:dyDescent="0.2"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2:24" ht="15" x14ac:dyDescent="0.2"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2:24" ht="15" x14ac:dyDescent="0.2"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 ht="15" x14ac:dyDescent="0.2"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 ht="15" x14ac:dyDescent="0.2"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ht="15" x14ac:dyDescent="0.2"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ht="15" x14ac:dyDescent="0.2"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ht="15" x14ac:dyDescent="0.2"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ht="15" x14ac:dyDescent="0.2"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ht="15" x14ac:dyDescent="0.2"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ht="15" x14ac:dyDescent="0.2"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ht="15" x14ac:dyDescent="0.2"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ht="15" x14ac:dyDescent="0.2"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ht="15" x14ac:dyDescent="0.2"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ht="15" x14ac:dyDescent="0.2"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ht="15" x14ac:dyDescent="0.2"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ht="15" x14ac:dyDescent="0.2"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ht="15" x14ac:dyDescent="0.2"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ht="15" x14ac:dyDescent="0.2"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ht="15" x14ac:dyDescent="0.2"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ht="15" x14ac:dyDescent="0.2"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ht="15" x14ac:dyDescent="0.2"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ht="15" x14ac:dyDescent="0.2"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ht="15" x14ac:dyDescent="0.2"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ht="15" x14ac:dyDescent="0.2"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ht="15" x14ac:dyDescent="0.2"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ht="15" x14ac:dyDescent="0.2"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ht="15" x14ac:dyDescent="0.2"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ht="15" x14ac:dyDescent="0.2"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ht="15" x14ac:dyDescent="0.2"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ht="15" x14ac:dyDescent="0.2"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ht="15" x14ac:dyDescent="0.2"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ht="15" x14ac:dyDescent="0.2"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ht="15" x14ac:dyDescent="0.2"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ht="15" x14ac:dyDescent="0.2"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ht="15" x14ac:dyDescent="0.2"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ht="15" x14ac:dyDescent="0.2"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ht="15" x14ac:dyDescent="0.2"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ht="15" x14ac:dyDescent="0.2"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ht="15" x14ac:dyDescent="0.2"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ht="15" x14ac:dyDescent="0.2"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ht="15" x14ac:dyDescent="0.2"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ht="15" x14ac:dyDescent="0.2"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ht="15" x14ac:dyDescent="0.2"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ht="15" x14ac:dyDescent="0.2"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ht="15" x14ac:dyDescent="0.2"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ht="15" x14ac:dyDescent="0.2"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ht="15" x14ac:dyDescent="0.2"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ht="15" x14ac:dyDescent="0.2"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ht="15" x14ac:dyDescent="0.2"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ht="15" x14ac:dyDescent="0.2"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ht="15" x14ac:dyDescent="0.2"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ht="15" x14ac:dyDescent="0.2"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ht="15" x14ac:dyDescent="0.2"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ht="15" x14ac:dyDescent="0.2"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ht="15" x14ac:dyDescent="0.2"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ht="15" x14ac:dyDescent="0.2"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ht="15" x14ac:dyDescent="0.2"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ht="15" x14ac:dyDescent="0.2"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ht="15" x14ac:dyDescent="0.2"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ht="15" x14ac:dyDescent="0.2"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ht="15" x14ac:dyDescent="0.2"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ht="15" x14ac:dyDescent="0.2"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ht="15" x14ac:dyDescent="0.2"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ht="15" x14ac:dyDescent="0.2"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ht="15" x14ac:dyDescent="0.2"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ht="15" x14ac:dyDescent="0.2"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ht="15" x14ac:dyDescent="0.2"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ht="15" x14ac:dyDescent="0.2"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ht="15" x14ac:dyDescent="0.2"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ht="15" x14ac:dyDescent="0.2"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ht="15" x14ac:dyDescent="0.2"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ht="15" x14ac:dyDescent="0.2"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ht="15" x14ac:dyDescent="0.2"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ht="15" x14ac:dyDescent="0.2"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ht="15" x14ac:dyDescent="0.2"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ht="15" x14ac:dyDescent="0.2"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ht="15" x14ac:dyDescent="0.2"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ht="15" x14ac:dyDescent="0.2"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ht="15" x14ac:dyDescent="0.2"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ht="15" x14ac:dyDescent="0.2"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ht="15" x14ac:dyDescent="0.2"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ht="15" x14ac:dyDescent="0.2"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ht="15" x14ac:dyDescent="0.2"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ht="15" x14ac:dyDescent="0.2"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ht="15" x14ac:dyDescent="0.2"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ht="15" x14ac:dyDescent="0.2"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ht="15" x14ac:dyDescent="0.2"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ht="15" x14ac:dyDescent="0.2"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ht="15" x14ac:dyDescent="0.2"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ht="15" x14ac:dyDescent="0.2"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ht="15" x14ac:dyDescent="0.2"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ht="15" x14ac:dyDescent="0.2"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ht="15" x14ac:dyDescent="0.2"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ht="15" x14ac:dyDescent="0.2"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ht="15" x14ac:dyDescent="0.2"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ht="15" x14ac:dyDescent="0.2"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ht="15" x14ac:dyDescent="0.2"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ht="15" x14ac:dyDescent="0.2"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ht="15" x14ac:dyDescent="0.2"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ht="15" x14ac:dyDescent="0.2"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ht="15" x14ac:dyDescent="0.2"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ht="15" x14ac:dyDescent="0.2"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ht="15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ht="15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ht="15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ht="15" x14ac:dyDescent="0.2"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ht="15" x14ac:dyDescent="0.2"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ht="15" x14ac:dyDescent="0.2"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ht="15" x14ac:dyDescent="0.2"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ht="15" x14ac:dyDescent="0.2"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ht="15" x14ac:dyDescent="0.2"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ht="15" x14ac:dyDescent="0.2"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ht="15" x14ac:dyDescent="0.2"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ht="15" x14ac:dyDescent="0.2"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2:24" ht="15" x14ac:dyDescent="0.2"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2:24" ht="15" x14ac:dyDescent="0.2"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2:24" ht="15" x14ac:dyDescent="0.2"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2:24" ht="15" x14ac:dyDescent="0.2"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2:24" ht="15" x14ac:dyDescent="0.2"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2:24" ht="15" x14ac:dyDescent="0.2"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2:24" ht="15" x14ac:dyDescent="0.2"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2:24" ht="15" x14ac:dyDescent="0.2"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2:24" ht="15" x14ac:dyDescent="0.2"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2:24" ht="15" x14ac:dyDescent="0.2"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2:24" ht="15" x14ac:dyDescent="0.2"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2:24" ht="15" x14ac:dyDescent="0.2"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2:24" ht="15" x14ac:dyDescent="0.2"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2:24" ht="15" x14ac:dyDescent="0.2"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2:24" ht="15" x14ac:dyDescent="0.2"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2:24" ht="15" x14ac:dyDescent="0.2"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2:24" ht="15" x14ac:dyDescent="0.2"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2:24" ht="15" x14ac:dyDescent="0.2"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2:24" ht="15" x14ac:dyDescent="0.2"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2:24" ht="15" x14ac:dyDescent="0.2"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2:24" ht="15" x14ac:dyDescent="0.2"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2:24" ht="15" x14ac:dyDescent="0.2"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2:24" ht="15" x14ac:dyDescent="0.2"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2:24" ht="15" x14ac:dyDescent="0.2"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2:24" ht="15" x14ac:dyDescent="0.2"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2:24" ht="15" x14ac:dyDescent="0.2"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2:24" ht="15" x14ac:dyDescent="0.2"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2:24" ht="15" x14ac:dyDescent="0.2"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2:24" ht="15" x14ac:dyDescent="0.2"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2:24" ht="15" x14ac:dyDescent="0.2"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2:24" ht="15" x14ac:dyDescent="0.2"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2:24" ht="15" x14ac:dyDescent="0.2"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2:24" ht="15" x14ac:dyDescent="0.2"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2:24" ht="15" x14ac:dyDescent="0.2"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2:24" ht="15" x14ac:dyDescent="0.2"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2:24" ht="15" x14ac:dyDescent="0.2"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2:24" ht="15" x14ac:dyDescent="0.2"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2:24" ht="15" x14ac:dyDescent="0.2"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2:24" ht="15" x14ac:dyDescent="0.2"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2:24" ht="15" x14ac:dyDescent="0.2"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2:24" ht="15" x14ac:dyDescent="0.2"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2:24" ht="15" x14ac:dyDescent="0.2"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2:24" ht="15" x14ac:dyDescent="0.2"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2:24" ht="15" x14ac:dyDescent="0.2"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2:24" ht="15" x14ac:dyDescent="0.2"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2:24" ht="15" x14ac:dyDescent="0.2"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2:24" ht="15" x14ac:dyDescent="0.2"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2:24" ht="15" x14ac:dyDescent="0.2"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2:24" ht="15" x14ac:dyDescent="0.2"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2:24" ht="15" x14ac:dyDescent="0.2"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2:24" ht="15" x14ac:dyDescent="0.2"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2:24" ht="15" x14ac:dyDescent="0.2"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2:24" ht="15" x14ac:dyDescent="0.2"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2:24" ht="15" x14ac:dyDescent="0.2"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2:24" ht="15" x14ac:dyDescent="0.2"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2:24" ht="15" x14ac:dyDescent="0.2"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2:24" ht="15" x14ac:dyDescent="0.2"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2:24" ht="15" x14ac:dyDescent="0.2"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2:24" ht="15" x14ac:dyDescent="0.2"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2:24" ht="15" x14ac:dyDescent="0.2"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2:24" ht="15" x14ac:dyDescent="0.2"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2:24" ht="15" x14ac:dyDescent="0.2"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2:24" ht="15" x14ac:dyDescent="0.2"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2:24" ht="15" x14ac:dyDescent="0.2"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2:24" ht="15" x14ac:dyDescent="0.2"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2:24" ht="15" x14ac:dyDescent="0.2"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2:24" ht="15" x14ac:dyDescent="0.2"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2:24" ht="15" x14ac:dyDescent="0.2"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2:24" ht="15" x14ac:dyDescent="0.2"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2:24" ht="15" x14ac:dyDescent="0.2"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2:24" ht="15" x14ac:dyDescent="0.2"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2:24" ht="15" x14ac:dyDescent="0.2"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2:24" ht="15" x14ac:dyDescent="0.2"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2:24" ht="15" x14ac:dyDescent="0.2"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2:24" ht="15" x14ac:dyDescent="0.2"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2:24" ht="15" x14ac:dyDescent="0.2"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2:24" ht="15" x14ac:dyDescent="0.2"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2:24" ht="15" x14ac:dyDescent="0.2"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2:24" ht="15" x14ac:dyDescent="0.2"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2:24" ht="15" x14ac:dyDescent="0.2"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2:24" ht="15" x14ac:dyDescent="0.2"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2:24" ht="15" x14ac:dyDescent="0.2"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2:24" ht="15" x14ac:dyDescent="0.2"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2:24" ht="15" x14ac:dyDescent="0.2"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2:24" ht="15" x14ac:dyDescent="0.2"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2:24" ht="15" x14ac:dyDescent="0.2"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2:24" ht="15" x14ac:dyDescent="0.2"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2:24" ht="15" x14ac:dyDescent="0.2"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2:24" ht="15" x14ac:dyDescent="0.2"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2:24" ht="15" x14ac:dyDescent="0.2"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2:24" ht="15" x14ac:dyDescent="0.2"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2:24" ht="15" x14ac:dyDescent="0.2"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2:24" ht="15" x14ac:dyDescent="0.2"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2:24" ht="15" x14ac:dyDescent="0.2"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2:24" ht="15" x14ac:dyDescent="0.2"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2:24" ht="15" x14ac:dyDescent="0.2"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2:24" ht="15" x14ac:dyDescent="0.2"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2:24" ht="15" x14ac:dyDescent="0.2"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2:24" ht="15" x14ac:dyDescent="0.2"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2:24" ht="15" x14ac:dyDescent="0.2"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2:24" ht="15" x14ac:dyDescent="0.2"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2:24" ht="15" x14ac:dyDescent="0.2"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2:24" ht="15" x14ac:dyDescent="0.2"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2:24" ht="15" x14ac:dyDescent="0.2"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2:24" ht="15" x14ac:dyDescent="0.2"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2:24" ht="15" x14ac:dyDescent="0.2"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2:24" ht="15" x14ac:dyDescent="0.2"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2:24" ht="15" x14ac:dyDescent="0.2"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2:24" ht="15" x14ac:dyDescent="0.2"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2:24" ht="15" x14ac:dyDescent="0.2"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2:24" ht="15" x14ac:dyDescent="0.2"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2:24" ht="15" x14ac:dyDescent="0.2"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2:24" ht="15" x14ac:dyDescent="0.2"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2:24" ht="15" x14ac:dyDescent="0.2"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2:24" ht="15" x14ac:dyDescent="0.2"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2:24" ht="15" x14ac:dyDescent="0.2"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2:24" ht="15" x14ac:dyDescent="0.2"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2:24" ht="15" x14ac:dyDescent="0.2"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2:24" ht="15" x14ac:dyDescent="0.2"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2:24" ht="15" x14ac:dyDescent="0.2"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2:24" ht="15" x14ac:dyDescent="0.2"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2:24" ht="15" x14ac:dyDescent="0.2"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2:24" ht="15" x14ac:dyDescent="0.2"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2:24" ht="15" x14ac:dyDescent="0.2"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2:24" ht="15" x14ac:dyDescent="0.2"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2:24" ht="15" x14ac:dyDescent="0.2"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2:24" ht="15" x14ac:dyDescent="0.2"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2:24" ht="15" x14ac:dyDescent="0.2"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2:24" ht="15" x14ac:dyDescent="0.2"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2:24" ht="15" x14ac:dyDescent="0.2"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2:24" ht="15" x14ac:dyDescent="0.2"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2:24" ht="15" x14ac:dyDescent="0.2"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2:24" ht="15" x14ac:dyDescent="0.2"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2:24" ht="15" x14ac:dyDescent="0.2"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2:24" ht="15" x14ac:dyDescent="0.2"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2:24" ht="15" x14ac:dyDescent="0.2"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2:24" ht="15" x14ac:dyDescent="0.2"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2:24" ht="15" x14ac:dyDescent="0.2"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2:24" ht="15" x14ac:dyDescent="0.2"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2:24" ht="15" x14ac:dyDescent="0.2"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2:24" ht="15" x14ac:dyDescent="0.2"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2:24" ht="15" x14ac:dyDescent="0.2"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2:24" ht="15" x14ac:dyDescent="0.2"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2:24" ht="15" x14ac:dyDescent="0.2"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2:24" ht="15" x14ac:dyDescent="0.2"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2:24" ht="15" x14ac:dyDescent="0.2"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2:24" ht="15" x14ac:dyDescent="0.2"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2:24" ht="15" x14ac:dyDescent="0.2"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2:24" ht="15" x14ac:dyDescent="0.2"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2:24" ht="15" x14ac:dyDescent="0.2"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2:24" ht="15" x14ac:dyDescent="0.2"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2:24" ht="15" x14ac:dyDescent="0.2"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2:24" ht="15" x14ac:dyDescent="0.2"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2:24" ht="15" x14ac:dyDescent="0.2"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2:24" ht="15" x14ac:dyDescent="0.2"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2:24" ht="15" x14ac:dyDescent="0.2"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2:24" ht="15" x14ac:dyDescent="0.2"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2:24" ht="15" x14ac:dyDescent="0.2"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2:24" ht="15" x14ac:dyDescent="0.2"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2:24" ht="15" x14ac:dyDescent="0.2"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2:24" ht="15" x14ac:dyDescent="0.2"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2:24" ht="15" x14ac:dyDescent="0.2"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2:24" ht="15" x14ac:dyDescent="0.2"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2:24" ht="15" x14ac:dyDescent="0.2"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2:24" ht="15" x14ac:dyDescent="0.2"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2:24" ht="15" x14ac:dyDescent="0.2"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2:24" ht="15" x14ac:dyDescent="0.2"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2:24" ht="15" x14ac:dyDescent="0.2"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2:24" ht="15" x14ac:dyDescent="0.2"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2:24" ht="15" x14ac:dyDescent="0.2"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2:24" ht="15" x14ac:dyDescent="0.2"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2:24" ht="15" x14ac:dyDescent="0.2"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2:24" ht="15" x14ac:dyDescent="0.2"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2:24" ht="15" x14ac:dyDescent="0.2"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2:24" ht="15" x14ac:dyDescent="0.2"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2:24" ht="15" x14ac:dyDescent="0.2"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2:24" ht="15" x14ac:dyDescent="0.2"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2:24" ht="15" x14ac:dyDescent="0.2"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2:24" ht="15" x14ac:dyDescent="0.2"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2:24" ht="15" x14ac:dyDescent="0.2"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2:24" ht="15" x14ac:dyDescent="0.2"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2:24" ht="15" x14ac:dyDescent="0.2"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2:24" ht="15" x14ac:dyDescent="0.2"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2:24" ht="15" x14ac:dyDescent="0.2"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2:24" ht="15" x14ac:dyDescent="0.2"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2:24" ht="15" x14ac:dyDescent="0.2"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2:24" ht="15" x14ac:dyDescent="0.2"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2:24" ht="15" x14ac:dyDescent="0.2"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2:24" ht="15" x14ac:dyDescent="0.2"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2:24" ht="15" x14ac:dyDescent="0.2"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2:24" ht="15" x14ac:dyDescent="0.2"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2:24" ht="15" x14ac:dyDescent="0.2"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2:24" ht="15" x14ac:dyDescent="0.2"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2:24" ht="15" x14ac:dyDescent="0.2"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2:24" ht="15" x14ac:dyDescent="0.2"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2:24" ht="15" x14ac:dyDescent="0.2"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2:24" ht="15" x14ac:dyDescent="0.2"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2:24" ht="15" x14ac:dyDescent="0.2"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2:24" ht="15" x14ac:dyDescent="0.2"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2:24" ht="15" x14ac:dyDescent="0.2"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2:24" ht="15" x14ac:dyDescent="0.2"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2:24" ht="15" x14ac:dyDescent="0.2"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2:24" ht="15" x14ac:dyDescent="0.2"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2:24" ht="15" x14ac:dyDescent="0.2"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2:24" ht="15" x14ac:dyDescent="0.2"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2:24" ht="15" x14ac:dyDescent="0.2"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2:24" ht="15" x14ac:dyDescent="0.2"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2:24" ht="15" x14ac:dyDescent="0.2"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2:24" ht="15" x14ac:dyDescent="0.2"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2:24" ht="15" x14ac:dyDescent="0.2"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2:24" ht="15" x14ac:dyDescent="0.2"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2:24" ht="15" x14ac:dyDescent="0.2"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2:24" ht="15" x14ac:dyDescent="0.2"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2:24" ht="15" x14ac:dyDescent="0.2"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2:24" ht="15" x14ac:dyDescent="0.2"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2:24" ht="15" x14ac:dyDescent="0.2"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2:24" ht="15" x14ac:dyDescent="0.2"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2:24" ht="15" x14ac:dyDescent="0.2"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2:24" ht="15" x14ac:dyDescent="0.2"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2:24" ht="15" x14ac:dyDescent="0.2"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2:24" ht="15" x14ac:dyDescent="0.2"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2:24" ht="15" x14ac:dyDescent="0.2"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2:24" ht="15" x14ac:dyDescent="0.2"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2:24" ht="15" x14ac:dyDescent="0.2"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2:24" ht="15" x14ac:dyDescent="0.2"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2:24" ht="15" x14ac:dyDescent="0.2"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2:24" ht="15" x14ac:dyDescent="0.2"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2:24" ht="15" x14ac:dyDescent="0.2"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2:24" ht="15" x14ac:dyDescent="0.2"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2:24" ht="15" x14ac:dyDescent="0.2"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2:24" ht="15" x14ac:dyDescent="0.2"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2:24" ht="15" x14ac:dyDescent="0.2"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2:24" ht="15" x14ac:dyDescent="0.2"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2:24" ht="15" x14ac:dyDescent="0.2"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2:24" ht="15" x14ac:dyDescent="0.2"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2:24" ht="15" x14ac:dyDescent="0.2"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2:24" ht="15" x14ac:dyDescent="0.2"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2:24" ht="15" x14ac:dyDescent="0.2"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2:24" ht="15" x14ac:dyDescent="0.2"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2:24" ht="15" x14ac:dyDescent="0.2"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2:24" ht="15" x14ac:dyDescent="0.2"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2:24" ht="15" x14ac:dyDescent="0.2"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2:24" ht="15" x14ac:dyDescent="0.2"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2:24" ht="15" x14ac:dyDescent="0.2"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2:24" ht="15" x14ac:dyDescent="0.2"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2:24" ht="15" x14ac:dyDescent="0.2"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2:24" ht="15" x14ac:dyDescent="0.2"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2:24" ht="15" x14ac:dyDescent="0.2"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2:24" ht="15" x14ac:dyDescent="0.2"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2:24" ht="15" x14ac:dyDescent="0.2"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2:24" ht="15" x14ac:dyDescent="0.2"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2:24" ht="15" x14ac:dyDescent="0.2"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2:24" ht="15" x14ac:dyDescent="0.2"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2:24" ht="15" x14ac:dyDescent="0.2"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2:24" ht="15" x14ac:dyDescent="0.2"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2:24" ht="15" x14ac:dyDescent="0.2"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2:24" ht="15" x14ac:dyDescent="0.2"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2:24" ht="15" x14ac:dyDescent="0.2"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2:24" ht="15" x14ac:dyDescent="0.2"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2:24" ht="15" x14ac:dyDescent="0.2"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2:24" ht="15" x14ac:dyDescent="0.2"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2:24" ht="15" x14ac:dyDescent="0.2"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2:24" ht="15" x14ac:dyDescent="0.2"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2:24" ht="15" x14ac:dyDescent="0.2"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2:24" ht="15" x14ac:dyDescent="0.2"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2:24" ht="15" x14ac:dyDescent="0.2"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2:24" ht="15" x14ac:dyDescent="0.2"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2:24" ht="15" x14ac:dyDescent="0.2"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2:24" ht="15" x14ac:dyDescent="0.2"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2:24" ht="15" x14ac:dyDescent="0.2"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2:24" ht="15" x14ac:dyDescent="0.2"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2:24" ht="15" x14ac:dyDescent="0.2"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2:24" ht="15" x14ac:dyDescent="0.2"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2:24" ht="15" x14ac:dyDescent="0.2"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2:24" ht="15" x14ac:dyDescent="0.2"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2:24" ht="15" x14ac:dyDescent="0.2"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2:24" ht="15" x14ac:dyDescent="0.2"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2:24" ht="15" x14ac:dyDescent="0.2"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2:24" ht="15" x14ac:dyDescent="0.2"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2:24" ht="15" x14ac:dyDescent="0.2"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2:24" ht="15" x14ac:dyDescent="0.2"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2:24" ht="15" x14ac:dyDescent="0.2"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2:24" ht="15" x14ac:dyDescent="0.2"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2:24" ht="15" x14ac:dyDescent="0.2"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2:24" ht="15" x14ac:dyDescent="0.2"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2:24" ht="15" x14ac:dyDescent="0.2"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2:24" ht="15" x14ac:dyDescent="0.2"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2:24" ht="15" x14ac:dyDescent="0.2"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2:24" ht="15" x14ac:dyDescent="0.2"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2:24" ht="15" x14ac:dyDescent="0.2"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2:24" ht="15" x14ac:dyDescent="0.2"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2:24" ht="15" x14ac:dyDescent="0.2"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2:24" ht="15" x14ac:dyDescent="0.2"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2:24" ht="15" x14ac:dyDescent="0.2"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2:24" ht="15" x14ac:dyDescent="0.2"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2:24" ht="15" x14ac:dyDescent="0.2"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2:24" ht="15" x14ac:dyDescent="0.2"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2:24" ht="15" x14ac:dyDescent="0.2"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2:24" ht="15" x14ac:dyDescent="0.2"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2:24" ht="15" x14ac:dyDescent="0.2"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2:24" ht="15" x14ac:dyDescent="0.2"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2:24" ht="15" x14ac:dyDescent="0.2"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2:24" ht="15" x14ac:dyDescent="0.2"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2:24" ht="15" x14ac:dyDescent="0.2"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2:24" ht="15" x14ac:dyDescent="0.2"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2:24" ht="15" x14ac:dyDescent="0.2"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2:24" ht="15" x14ac:dyDescent="0.2"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2:24" ht="15" x14ac:dyDescent="0.2"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2:24" ht="15" x14ac:dyDescent="0.2"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2:24" ht="15" x14ac:dyDescent="0.2"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2:24" ht="15" x14ac:dyDescent="0.2"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2:24" ht="15" x14ac:dyDescent="0.2"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2:24" ht="15" x14ac:dyDescent="0.2"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2:24" ht="15" x14ac:dyDescent="0.2"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2:24" ht="15" x14ac:dyDescent="0.2"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2:24" ht="15" x14ac:dyDescent="0.2"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2:24" ht="15" x14ac:dyDescent="0.2"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2:24" ht="15" x14ac:dyDescent="0.2"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2:24" ht="15" x14ac:dyDescent="0.2"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2:24" ht="15" x14ac:dyDescent="0.2"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2:24" ht="15" x14ac:dyDescent="0.2"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2:24" ht="15" x14ac:dyDescent="0.2"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2:24" ht="15" x14ac:dyDescent="0.2"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2:24" ht="15" x14ac:dyDescent="0.2"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2:24" ht="15" x14ac:dyDescent="0.2"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2:24" ht="15" x14ac:dyDescent="0.2"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2:24" ht="15" x14ac:dyDescent="0.2"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2:24" ht="15" x14ac:dyDescent="0.2"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2:24" ht="15" x14ac:dyDescent="0.2"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2:24" ht="15" x14ac:dyDescent="0.2"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2:24" ht="15" x14ac:dyDescent="0.2"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2:24" ht="15" x14ac:dyDescent="0.2"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2:24" ht="15" x14ac:dyDescent="0.2"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2:24" ht="15" x14ac:dyDescent="0.2"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2:24" ht="15" x14ac:dyDescent="0.2"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2:24" ht="15" x14ac:dyDescent="0.2"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2:24" ht="15" x14ac:dyDescent="0.2"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2:24" ht="15" x14ac:dyDescent="0.2"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2:24" ht="15" x14ac:dyDescent="0.2"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2:24" ht="15" x14ac:dyDescent="0.2"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2:24" ht="15" x14ac:dyDescent="0.2"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2:24" ht="15" x14ac:dyDescent="0.2"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2:24" ht="15" x14ac:dyDescent="0.2"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2:24" ht="15" x14ac:dyDescent="0.2"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2:24" ht="15" x14ac:dyDescent="0.2"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2:24" ht="15" x14ac:dyDescent="0.2"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2:24" ht="15" x14ac:dyDescent="0.2"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2:24" ht="15" x14ac:dyDescent="0.2"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2:24" ht="15" x14ac:dyDescent="0.2"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2:24" ht="15" x14ac:dyDescent="0.2"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2:24" ht="15" x14ac:dyDescent="0.2"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2:24" ht="15" x14ac:dyDescent="0.2"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2:24" ht="15" x14ac:dyDescent="0.2"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2:24" ht="15" x14ac:dyDescent="0.2"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2:24" ht="15" x14ac:dyDescent="0.2"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2:24" ht="15" x14ac:dyDescent="0.2"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2:24" ht="15" x14ac:dyDescent="0.2"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2:24" ht="15" x14ac:dyDescent="0.2"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2:24" ht="15" x14ac:dyDescent="0.2"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2:24" ht="15" x14ac:dyDescent="0.2"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2:24" ht="15" x14ac:dyDescent="0.2"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2:24" ht="15" x14ac:dyDescent="0.2"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2:24" ht="15" x14ac:dyDescent="0.2"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2:24" ht="15" x14ac:dyDescent="0.2"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2:24" ht="15" x14ac:dyDescent="0.2"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2:24" ht="15" x14ac:dyDescent="0.2"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2:24" ht="15" x14ac:dyDescent="0.2"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2:24" ht="15" x14ac:dyDescent="0.2"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2:24" ht="15" x14ac:dyDescent="0.2"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2:24" ht="15" x14ac:dyDescent="0.2"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2:24" ht="15" x14ac:dyDescent="0.2"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2:24" ht="15" x14ac:dyDescent="0.2"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2:24" ht="15" x14ac:dyDescent="0.2"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2:24" ht="15" x14ac:dyDescent="0.2"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2:24" ht="15" x14ac:dyDescent="0.2"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2:24" ht="15" x14ac:dyDescent="0.2"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2:24" ht="15" x14ac:dyDescent="0.2"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2:24" ht="15" x14ac:dyDescent="0.2"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2:24" ht="15" x14ac:dyDescent="0.2"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2:24" ht="15" x14ac:dyDescent="0.2"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2:24" ht="15" x14ac:dyDescent="0.2"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2:24" ht="15" x14ac:dyDescent="0.2"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2:24" ht="15" x14ac:dyDescent="0.2"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2:24" ht="15" x14ac:dyDescent="0.2"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2:24" ht="15" x14ac:dyDescent="0.2"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2:24" ht="15" x14ac:dyDescent="0.2"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2:24" ht="15" x14ac:dyDescent="0.2"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2:24" ht="15" x14ac:dyDescent="0.2"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2:24" ht="15" x14ac:dyDescent="0.2"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2:24" ht="15" x14ac:dyDescent="0.2"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2:24" ht="15" x14ac:dyDescent="0.2"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2:24" ht="15" x14ac:dyDescent="0.2"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2:24" ht="15" x14ac:dyDescent="0.2"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2:24" ht="15" x14ac:dyDescent="0.2"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2:24" ht="15" x14ac:dyDescent="0.2"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2:24" ht="15" x14ac:dyDescent="0.2"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2:24" ht="15" x14ac:dyDescent="0.2"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2:24" ht="15" x14ac:dyDescent="0.2"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2:24" ht="15" x14ac:dyDescent="0.2"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2:24" ht="15" x14ac:dyDescent="0.2"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2:24" ht="15" x14ac:dyDescent="0.2"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2:24" ht="15" x14ac:dyDescent="0.2"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2:24" ht="15" x14ac:dyDescent="0.2"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2:24" ht="15" x14ac:dyDescent="0.2"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2:24" ht="15" x14ac:dyDescent="0.2"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2:24" ht="15" x14ac:dyDescent="0.2"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2:24" ht="15" x14ac:dyDescent="0.2"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2:24" ht="15" x14ac:dyDescent="0.2"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2:24" ht="15" x14ac:dyDescent="0.2"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2:24" ht="15" x14ac:dyDescent="0.2"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2:24" ht="15" x14ac:dyDescent="0.2"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2:24" ht="15" x14ac:dyDescent="0.2"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2:24" ht="15" x14ac:dyDescent="0.2"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2:24" ht="15" x14ac:dyDescent="0.2"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2:24" ht="15" x14ac:dyDescent="0.2"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2:24" ht="15" x14ac:dyDescent="0.2"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2:24" ht="15" x14ac:dyDescent="0.2"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2:24" ht="15" x14ac:dyDescent="0.2"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2:24" ht="15" x14ac:dyDescent="0.2"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2:24" ht="15" x14ac:dyDescent="0.2"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2:24" ht="15" x14ac:dyDescent="0.2"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2:24" ht="15" x14ac:dyDescent="0.2"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2:24" ht="15" x14ac:dyDescent="0.2"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2:24" ht="15" x14ac:dyDescent="0.2"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2:24" ht="15" x14ac:dyDescent="0.2"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2:24" ht="15" x14ac:dyDescent="0.2"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2:24" ht="15" x14ac:dyDescent="0.2"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2:24" ht="15" x14ac:dyDescent="0.2"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2:24" ht="15" x14ac:dyDescent="0.2"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2:24" ht="15" x14ac:dyDescent="0.2"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2:24" ht="15" x14ac:dyDescent="0.2"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2:24" ht="15" x14ac:dyDescent="0.2"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2:24" ht="15" x14ac:dyDescent="0.2"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2:24" ht="15" x14ac:dyDescent="0.2"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2:24" ht="15" x14ac:dyDescent="0.2"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2:24" ht="15" x14ac:dyDescent="0.2"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2:24" ht="15" x14ac:dyDescent="0.2"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2:24" ht="15" x14ac:dyDescent="0.2"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2:24" ht="15" x14ac:dyDescent="0.2"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2:24" ht="15" x14ac:dyDescent="0.2"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2:24" ht="15" x14ac:dyDescent="0.2"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2:24" ht="15" x14ac:dyDescent="0.2"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2:24" ht="15" x14ac:dyDescent="0.2"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2:24" ht="15" x14ac:dyDescent="0.2"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2:24" ht="15" x14ac:dyDescent="0.2"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2:24" ht="15" x14ac:dyDescent="0.2"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2:24" ht="15" x14ac:dyDescent="0.2"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2:24" ht="15" x14ac:dyDescent="0.2"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2:24" ht="15" x14ac:dyDescent="0.2"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2:24" ht="15" x14ac:dyDescent="0.2"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2:24" ht="15" x14ac:dyDescent="0.2"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2:24" ht="15" x14ac:dyDescent="0.2"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2:24" ht="15" x14ac:dyDescent="0.2"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2:24" ht="15" x14ac:dyDescent="0.2"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2:24" ht="15" x14ac:dyDescent="0.2"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2:24" ht="15" x14ac:dyDescent="0.2"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2:24" ht="15" x14ac:dyDescent="0.2"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2:24" ht="15" x14ac:dyDescent="0.2"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2:24" ht="15" x14ac:dyDescent="0.2"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2:24" ht="15" x14ac:dyDescent="0.2"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2:24" ht="15" x14ac:dyDescent="0.2"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2:24" ht="15" x14ac:dyDescent="0.2"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2:24" ht="15" x14ac:dyDescent="0.2"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2:24" ht="15" x14ac:dyDescent="0.2"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2:24" ht="15" x14ac:dyDescent="0.2"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2:24" ht="15" x14ac:dyDescent="0.2"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2:24" ht="15" x14ac:dyDescent="0.2"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2:24" ht="15" x14ac:dyDescent="0.2"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2:24" ht="15" x14ac:dyDescent="0.2"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2:24" ht="15" x14ac:dyDescent="0.2"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2:24" ht="15" x14ac:dyDescent="0.2"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2:24" ht="15" x14ac:dyDescent="0.2"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2:24" ht="15" x14ac:dyDescent="0.2"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2:24" ht="15" x14ac:dyDescent="0.2"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2:24" ht="15" x14ac:dyDescent="0.2"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2:24" ht="15" x14ac:dyDescent="0.2"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2:24" ht="15" x14ac:dyDescent="0.2"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2:24" ht="15" x14ac:dyDescent="0.2"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2:24" ht="15" x14ac:dyDescent="0.2"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2:24" ht="15" x14ac:dyDescent="0.2"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2:24" ht="15" x14ac:dyDescent="0.2"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2:24" ht="15" x14ac:dyDescent="0.2"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2:24" ht="15" x14ac:dyDescent="0.2"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2:24" ht="15" x14ac:dyDescent="0.2"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2:24" ht="15" x14ac:dyDescent="0.2"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2:24" ht="15" x14ac:dyDescent="0.2"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2:24" ht="15" x14ac:dyDescent="0.2"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2:24" ht="15" x14ac:dyDescent="0.2"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2:24" ht="15" x14ac:dyDescent="0.2"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2:24" ht="15" x14ac:dyDescent="0.2"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2:24" ht="15" x14ac:dyDescent="0.2"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2:24" ht="15" x14ac:dyDescent="0.2"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2:24" ht="15" x14ac:dyDescent="0.2"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2:24" ht="15" x14ac:dyDescent="0.2"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2:24" ht="15" x14ac:dyDescent="0.2"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2:24" ht="15" x14ac:dyDescent="0.2"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2:24" ht="15" x14ac:dyDescent="0.2"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2:24" ht="15" x14ac:dyDescent="0.2"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2:24" ht="15" x14ac:dyDescent="0.2"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2:24" ht="15" x14ac:dyDescent="0.2"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2:24" ht="15" x14ac:dyDescent="0.2"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2:24" ht="15" x14ac:dyDescent="0.2"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2:24" ht="15" x14ac:dyDescent="0.2"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2:24" ht="15" x14ac:dyDescent="0.2"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2:24" ht="15" x14ac:dyDescent="0.2"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2:24" ht="15" x14ac:dyDescent="0.2"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2:24" ht="15" x14ac:dyDescent="0.2"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2:24" ht="15" x14ac:dyDescent="0.2"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2:24" ht="15" x14ac:dyDescent="0.2"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2:24" ht="15" x14ac:dyDescent="0.2"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2:24" ht="15" x14ac:dyDescent="0.2"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2:24" ht="15" x14ac:dyDescent="0.2"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2:24" ht="15" x14ac:dyDescent="0.2"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2:24" ht="15" x14ac:dyDescent="0.2"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2:24" ht="15" x14ac:dyDescent="0.2"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2:24" ht="15" x14ac:dyDescent="0.2"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2:24" ht="15" x14ac:dyDescent="0.2"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2:24" ht="15" x14ac:dyDescent="0.2"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2:24" ht="15" x14ac:dyDescent="0.2"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2:24" ht="15" x14ac:dyDescent="0.2"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2:24" ht="15" x14ac:dyDescent="0.2"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2:24" ht="15" x14ac:dyDescent="0.2"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2:24" ht="15" x14ac:dyDescent="0.2"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2:24" ht="15" x14ac:dyDescent="0.2"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2:24" ht="15" x14ac:dyDescent="0.2"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2:24" ht="15" x14ac:dyDescent="0.2"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2:24" ht="15" x14ac:dyDescent="0.2"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2:24" ht="15" x14ac:dyDescent="0.2"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2:24" ht="15" x14ac:dyDescent="0.2"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2:24" ht="15" x14ac:dyDescent="0.2"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2:24" ht="15" x14ac:dyDescent="0.2"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2:24" ht="15" x14ac:dyDescent="0.2"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2:24" ht="15" x14ac:dyDescent="0.2"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2:24" ht="15" x14ac:dyDescent="0.2"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2:24" ht="15" x14ac:dyDescent="0.2"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2:24" ht="15" x14ac:dyDescent="0.2"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2:24" ht="15" x14ac:dyDescent="0.2"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2:24" ht="15" x14ac:dyDescent="0.2"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2:24" ht="15" x14ac:dyDescent="0.2"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2:24" ht="15" x14ac:dyDescent="0.2"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2:24" ht="15" x14ac:dyDescent="0.2"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2:24" ht="15" x14ac:dyDescent="0.2"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2:24" ht="15" x14ac:dyDescent="0.2"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2:24" ht="15" x14ac:dyDescent="0.2"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2:24" ht="15" x14ac:dyDescent="0.2"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2:24" ht="15" x14ac:dyDescent="0.2"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2:24" ht="15" x14ac:dyDescent="0.2"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2:24" ht="15" x14ac:dyDescent="0.2"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2:24" ht="15" x14ac:dyDescent="0.2"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2:24" ht="15" x14ac:dyDescent="0.2"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2:24" ht="15" x14ac:dyDescent="0.2"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2:24" ht="15" x14ac:dyDescent="0.2"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2:24" ht="15" x14ac:dyDescent="0.2"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2:24" ht="15" x14ac:dyDescent="0.2"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2:24" ht="15" x14ac:dyDescent="0.2"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2:24" ht="15" x14ac:dyDescent="0.2"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2:24" ht="15" x14ac:dyDescent="0.2"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2:24" ht="15" x14ac:dyDescent="0.2"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2:24" ht="15" x14ac:dyDescent="0.2"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2:24" ht="15" x14ac:dyDescent="0.2"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2:24" ht="15" x14ac:dyDescent="0.2"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2:24" ht="15" x14ac:dyDescent="0.2"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2:24" ht="15" x14ac:dyDescent="0.2"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2:24" ht="15" x14ac:dyDescent="0.2"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2:24" ht="15" x14ac:dyDescent="0.2"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2:24" ht="15" x14ac:dyDescent="0.2"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2:24" ht="15" x14ac:dyDescent="0.2"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2:24" ht="15" x14ac:dyDescent="0.2"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2:24" ht="15" x14ac:dyDescent="0.2"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2:24" ht="15" x14ac:dyDescent="0.2"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2:24" ht="15" x14ac:dyDescent="0.2"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2:24" ht="15" x14ac:dyDescent="0.2"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2:24" ht="15" x14ac:dyDescent="0.2"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2:24" ht="15" x14ac:dyDescent="0.2"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2:24" ht="15" x14ac:dyDescent="0.2"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2:24" ht="15" x14ac:dyDescent="0.2"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2:24" ht="15" x14ac:dyDescent="0.2"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2:24" ht="15" x14ac:dyDescent="0.2"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2:24" ht="15" x14ac:dyDescent="0.2"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2:24" ht="15" x14ac:dyDescent="0.2"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2:24" ht="15" x14ac:dyDescent="0.2"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2:24" ht="15" x14ac:dyDescent="0.2"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2:24" ht="15" x14ac:dyDescent="0.2"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2:24" ht="15" x14ac:dyDescent="0.2"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2:24" ht="15" x14ac:dyDescent="0.2"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2:24" ht="15" x14ac:dyDescent="0.2"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2:24" ht="15" x14ac:dyDescent="0.2"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2:24" ht="15" x14ac:dyDescent="0.2"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2:24" ht="15" x14ac:dyDescent="0.2"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2:24" ht="15" x14ac:dyDescent="0.2"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2:24" ht="15" x14ac:dyDescent="0.2"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2:24" ht="15" x14ac:dyDescent="0.2"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2:24" ht="15" x14ac:dyDescent="0.2"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2:24" ht="15" x14ac:dyDescent="0.2"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2:24" ht="15" x14ac:dyDescent="0.2"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2:24" ht="15" x14ac:dyDescent="0.2"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2:24" ht="15" x14ac:dyDescent="0.2"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2:24" ht="15" x14ac:dyDescent="0.2"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2:24" ht="15" x14ac:dyDescent="0.2"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2:24" ht="15" x14ac:dyDescent="0.2"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2:24" ht="15" x14ac:dyDescent="0.2"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2:24" ht="15" x14ac:dyDescent="0.2"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2:24" ht="15" x14ac:dyDescent="0.2"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2:24" ht="15" x14ac:dyDescent="0.2"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2:24" ht="15" x14ac:dyDescent="0.2"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2:24" ht="15" x14ac:dyDescent="0.2"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2:24" ht="15" x14ac:dyDescent="0.2"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2:24" ht="15" x14ac:dyDescent="0.2"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2:24" ht="15" x14ac:dyDescent="0.2"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2:24" ht="15" x14ac:dyDescent="0.2"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2:24" ht="15" x14ac:dyDescent="0.2"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2:24" ht="15" x14ac:dyDescent="0.2"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2:24" ht="15" x14ac:dyDescent="0.2"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2:24" ht="15" x14ac:dyDescent="0.2"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2:24" ht="15" x14ac:dyDescent="0.2"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2:24" ht="15" x14ac:dyDescent="0.2"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2:24" ht="15" x14ac:dyDescent="0.2"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2:24" ht="15" x14ac:dyDescent="0.2"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2:24" ht="15" x14ac:dyDescent="0.2"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2:24" ht="15" x14ac:dyDescent="0.2"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2:24" ht="15" x14ac:dyDescent="0.2"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2:24" ht="15" x14ac:dyDescent="0.2"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2:24" ht="15" x14ac:dyDescent="0.2"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2:24" ht="15" x14ac:dyDescent="0.2"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2:24" ht="15" x14ac:dyDescent="0.2"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2:24" ht="15" x14ac:dyDescent="0.2"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2:24" ht="15" x14ac:dyDescent="0.2"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2:24" ht="15" x14ac:dyDescent="0.2"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2:24" ht="15" x14ac:dyDescent="0.2"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2:24" ht="15" x14ac:dyDescent="0.2"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2:24" ht="15" x14ac:dyDescent="0.2"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2:24" ht="15" x14ac:dyDescent="0.2"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2:24" ht="15" x14ac:dyDescent="0.2"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2:24" ht="15" x14ac:dyDescent="0.2"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2:24" ht="15" x14ac:dyDescent="0.2"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2:24" ht="15" x14ac:dyDescent="0.2"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2:24" ht="15" x14ac:dyDescent="0.2"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2:24" ht="15" x14ac:dyDescent="0.2"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2:24" ht="15" x14ac:dyDescent="0.2"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2:24" ht="15" x14ac:dyDescent="0.2"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2:24" ht="15" x14ac:dyDescent="0.2"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2:24" ht="15" x14ac:dyDescent="0.2"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2:24" ht="15" x14ac:dyDescent="0.2"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2:24" ht="15" x14ac:dyDescent="0.2"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2:24" ht="15" x14ac:dyDescent="0.2"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2:24" ht="15" x14ac:dyDescent="0.2"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2:24" ht="15" x14ac:dyDescent="0.2"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2:24" ht="15" x14ac:dyDescent="0.2"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2:24" ht="15" x14ac:dyDescent="0.2"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2:24" ht="15" x14ac:dyDescent="0.2"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2:24" ht="15" x14ac:dyDescent="0.2"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2:24" ht="15" x14ac:dyDescent="0.2"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2:24" ht="15" x14ac:dyDescent="0.2"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2:24" ht="15" x14ac:dyDescent="0.2"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2:24" ht="15" x14ac:dyDescent="0.2"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2:24" ht="15" x14ac:dyDescent="0.2"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2:24" ht="15" x14ac:dyDescent="0.2"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2:24" ht="15" x14ac:dyDescent="0.2"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2:24" ht="15" x14ac:dyDescent="0.2"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2:24" ht="15" x14ac:dyDescent="0.2"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2:24" ht="15" x14ac:dyDescent="0.2"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2:24" ht="15" x14ac:dyDescent="0.2"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2:24" ht="15" x14ac:dyDescent="0.2"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2:24" ht="15" x14ac:dyDescent="0.2"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2:24" ht="15" x14ac:dyDescent="0.2"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2:24" ht="15" x14ac:dyDescent="0.2"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2:24" ht="15" x14ac:dyDescent="0.2"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2:24" ht="15" x14ac:dyDescent="0.2"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2:24" ht="15" x14ac:dyDescent="0.2"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2:24" ht="15" x14ac:dyDescent="0.2"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2:24" ht="15" x14ac:dyDescent="0.2"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2:24" ht="15" x14ac:dyDescent="0.2"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2:24" ht="15" x14ac:dyDescent="0.2"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2:24" ht="15" x14ac:dyDescent="0.2"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2:24" ht="15" x14ac:dyDescent="0.2"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2:24" ht="15" x14ac:dyDescent="0.2"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2:24" ht="15" x14ac:dyDescent="0.2"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2:24" ht="15" x14ac:dyDescent="0.2"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2:24" ht="15" x14ac:dyDescent="0.2"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2:24" ht="15" x14ac:dyDescent="0.2"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2:24" ht="15" x14ac:dyDescent="0.2"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2:24" ht="15" x14ac:dyDescent="0.2"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2:24" ht="15" x14ac:dyDescent="0.2"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2:24" ht="15" x14ac:dyDescent="0.2"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2:24" ht="15" x14ac:dyDescent="0.2"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2:24" ht="15" x14ac:dyDescent="0.2"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2:24" ht="15" x14ac:dyDescent="0.2"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2:24" ht="15" x14ac:dyDescent="0.2"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2:24" ht="15" x14ac:dyDescent="0.2"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2:24" ht="15" x14ac:dyDescent="0.2"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2:24" ht="15" x14ac:dyDescent="0.2"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2:24" ht="15" x14ac:dyDescent="0.2"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2:24" ht="15" x14ac:dyDescent="0.2"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2:24" ht="15" x14ac:dyDescent="0.2"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2:24" ht="15" x14ac:dyDescent="0.2"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2:24" ht="15" x14ac:dyDescent="0.2"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2:24" ht="15" x14ac:dyDescent="0.2"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2:24" ht="15" x14ac:dyDescent="0.2"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2:24" ht="15" x14ac:dyDescent="0.2"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2:24" ht="15" x14ac:dyDescent="0.2"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2:24" ht="15" x14ac:dyDescent="0.2"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2:24" ht="15" x14ac:dyDescent="0.2"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2:24" ht="15" x14ac:dyDescent="0.2"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2:24" ht="15" x14ac:dyDescent="0.2"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2:24" ht="15" x14ac:dyDescent="0.2"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2:24" ht="15" x14ac:dyDescent="0.2"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2:24" ht="15" x14ac:dyDescent="0.2"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2:24" ht="15" x14ac:dyDescent="0.2"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2:24" ht="15" x14ac:dyDescent="0.2"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2:24" ht="15" x14ac:dyDescent="0.2"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2:24" ht="15" x14ac:dyDescent="0.2"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2:24" ht="15" x14ac:dyDescent="0.2"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2:24" ht="15" x14ac:dyDescent="0.2"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2:24" ht="15" x14ac:dyDescent="0.2"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2:24" ht="15" x14ac:dyDescent="0.2"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2:24" ht="15" x14ac:dyDescent="0.2"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2:24" ht="15" x14ac:dyDescent="0.2"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2:24" ht="15" x14ac:dyDescent="0.2"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2:24" ht="15" x14ac:dyDescent="0.2"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2:24" ht="15" x14ac:dyDescent="0.2"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2:24" ht="15" x14ac:dyDescent="0.2"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2:24" ht="15" x14ac:dyDescent="0.2"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2:24" ht="15" x14ac:dyDescent="0.2"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2:24" ht="15" x14ac:dyDescent="0.2"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2:24" ht="15" x14ac:dyDescent="0.2"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2:24" ht="15" x14ac:dyDescent="0.2"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2:24" ht="15" x14ac:dyDescent="0.2"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2:24" ht="15" x14ac:dyDescent="0.2"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2:24" ht="15" x14ac:dyDescent="0.2"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2:24" ht="15" x14ac:dyDescent="0.2"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2:24" ht="15" x14ac:dyDescent="0.2"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2:24" ht="15" x14ac:dyDescent="0.2"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2:24" ht="15" x14ac:dyDescent="0.2"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2:24" ht="15" x14ac:dyDescent="0.2"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2:24" ht="15" x14ac:dyDescent="0.2"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2:24" ht="15" x14ac:dyDescent="0.2"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2:24" ht="15" x14ac:dyDescent="0.2"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2:24" ht="15" x14ac:dyDescent="0.2"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2:24" ht="15" x14ac:dyDescent="0.2"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2:24" ht="15" x14ac:dyDescent="0.2"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2:24" ht="15" x14ac:dyDescent="0.2"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2:24" ht="15" x14ac:dyDescent="0.2"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2:24" ht="15" x14ac:dyDescent="0.2"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2:24" ht="15" x14ac:dyDescent="0.2"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2:24" ht="15" x14ac:dyDescent="0.2"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2:24" ht="15" x14ac:dyDescent="0.2"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2:24" ht="15" x14ac:dyDescent="0.2"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2:24" ht="15" x14ac:dyDescent="0.2"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2:24" ht="15" x14ac:dyDescent="0.2"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2:24" ht="15" x14ac:dyDescent="0.2"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2:24" ht="15" x14ac:dyDescent="0.2"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2:24" ht="15" x14ac:dyDescent="0.2"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2:24" ht="15" x14ac:dyDescent="0.2"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2:24" ht="15" x14ac:dyDescent="0.2"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2:24" ht="15" x14ac:dyDescent="0.2"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2:24" ht="15" x14ac:dyDescent="0.2"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2:24" ht="15" x14ac:dyDescent="0.2"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2:24" ht="15" x14ac:dyDescent="0.2"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2:24" ht="15" x14ac:dyDescent="0.2"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2:24" ht="15" x14ac:dyDescent="0.2"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2:24" ht="15" x14ac:dyDescent="0.2"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2:24" ht="15" x14ac:dyDescent="0.2"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2:24" ht="15" x14ac:dyDescent="0.2"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2:24" ht="15" x14ac:dyDescent="0.2"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2:24" ht="15" x14ac:dyDescent="0.2"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2:24" ht="15" x14ac:dyDescent="0.2"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2:24" ht="15" x14ac:dyDescent="0.2"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2:24" ht="15" x14ac:dyDescent="0.2"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2:24" ht="15" x14ac:dyDescent="0.2"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2:24" ht="15" x14ac:dyDescent="0.2"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2:24" ht="15" x14ac:dyDescent="0.2"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2:24" ht="15" x14ac:dyDescent="0.2"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2:24" ht="15" x14ac:dyDescent="0.2"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2:24" ht="15" x14ac:dyDescent="0.2"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2:24" ht="15" x14ac:dyDescent="0.2"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2:24" ht="15" x14ac:dyDescent="0.2"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2:24" ht="15" x14ac:dyDescent="0.2"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2:24" ht="15" x14ac:dyDescent="0.2"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2:24" ht="15" x14ac:dyDescent="0.2"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2:24" ht="15" x14ac:dyDescent="0.2"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2:24" ht="15" x14ac:dyDescent="0.2"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2:24" ht="15" x14ac:dyDescent="0.2"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2:24" ht="15" x14ac:dyDescent="0.2"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2:24" ht="15" x14ac:dyDescent="0.2"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2:24" ht="15" x14ac:dyDescent="0.2"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2:24" ht="15" x14ac:dyDescent="0.2"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2:24" ht="15" x14ac:dyDescent="0.2"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2:24" ht="15" x14ac:dyDescent="0.2"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2:24" ht="15" x14ac:dyDescent="0.2"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2:24" ht="15" x14ac:dyDescent="0.2"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2:24" ht="15" x14ac:dyDescent="0.2"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2:24" ht="15" x14ac:dyDescent="0.2"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outlinePr summaryBelow="0" summaryRight="0"/>
  </sheetPr>
  <dimension ref="A1:Z1003"/>
  <sheetViews>
    <sheetView workbookViewId="0">
      <selection activeCell="E13" sqref="E12:E13"/>
    </sheetView>
  </sheetViews>
  <sheetFormatPr baseColWidth="10" defaultColWidth="14.3984375" defaultRowHeight="15.75" customHeight="1" x14ac:dyDescent="0.2"/>
  <cols>
    <col min="1" max="1" width="14.3984375" style="4"/>
    <col min="2" max="2" width="36.796875" style="4" bestFit="1" customWidth="1"/>
    <col min="3" max="3" width="24.796875" style="4" customWidth="1"/>
    <col min="4" max="4" width="1.3984375" style="4" customWidth="1"/>
    <col min="5" max="5" width="36.796875" style="4" bestFit="1" customWidth="1"/>
    <col min="6" max="6" width="23" style="4" bestFit="1" customWidth="1"/>
    <col min="7" max="16384" width="14.3984375" style="4"/>
  </cols>
  <sheetData>
    <row r="1" spans="1:26" ht="15.75" customHeight="1" x14ac:dyDescent="0.2">
      <c r="A1" s="40"/>
      <c r="B1" s="99" t="s">
        <v>76</v>
      </c>
      <c r="C1" s="99"/>
      <c r="D1" s="7"/>
      <c r="E1" s="99" t="s">
        <v>75</v>
      </c>
      <c r="F1" s="99"/>
    </row>
    <row r="2" spans="1:26" ht="15" x14ac:dyDescent="0.2">
      <c r="A2" s="35" t="s">
        <v>0</v>
      </c>
      <c r="B2" s="41" t="s">
        <v>77</v>
      </c>
      <c r="C2" s="42" t="s">
        <v>78</v>
      </c>
      <c r="D2" s="3"/>
      <c r="E2" s="41" t="s">
        <v>77</v>
      </c>
      <c r="F2" s="42" t="s">
        <v>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x14ac:dyDescent="0.2">
      <c r="A3" s="37">
        <v>2018</v>
      </c>
      <c r="B3" s="38">
        <v>9225292701286.2246</v>
      </c>
      <c r="C3" s="38">
        <v>9286169818013.4355</v>
      </c>
      <c r="D3" s="3"/>
      <c r="E3" s="43">
        <v>5345231795890.9902</v>
      </c>
      <c r="F3" s="43">
        <v>5265329178110.7002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x14ac:dyDescent="0.2">
      <c r="A4" s="37">
        <v>2019</v>
      </c>
      <c r="B4" s="38">
        <v>9213745886997.9199</v>
      </c>
      <c r="C4" s="38">
        <v>9341953605677.3008</v>
      </c>
      <c r="D4" s="3"/>
      <c r="E4" s="43">
        <v>5400775016897.2695</v>
      </c>
      <c r="F4" s="43">
        <v>5211973989349.2402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x14ac:dyDescent="0.2">
      <c r="A5" s="37">
        <v>2020</v>
      </c>
      <c r="B5" s="38">
        <v>9266146077288.6191</v>
      </c>
      <c r="C5" s="38">
        <v>9442503408396.0508</v>
      </c>
      <c r="D5" s="3"/>
      <c r="E5" s="43">
        <v>5093441592984.3301</v>
      </c>
      <c r="F5" s="43">
        <v>4962096737241.4199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x14ac:dyDescent="0.2">
      <c r="A6" s="37">
        <v>2021</v>
      </c>
      <c r="B6" s="38">
        <v>7770270846044.2402</v>
      </c>
      <c r="C6" s="38">
        <v>8263029901344.0801</v>
      </c>
      <c r="D6" s="3"/>
      <c r="E6" s="43">
        <v>6329025886275.2803</v>
      </c>
      <c r="F6" s="43">
        <v>6435150289996.3799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x14ac:dyDescent="0.2">
      <c r="A7" s="37">
        <v>2022</v>
      </c>
      <c r="B7" s="38">
        <v>9481120445745.6699</v>
      </c>
      <c r="C7" s="43">
        <v>9810485984301.8906</v>
      </c>
      <c r="D7" s="3"/>
      <c r="E7" s="51">
        <f>Actual_Revenue!C38</f>
        <v>8168114487006.7217</v>
      </c>
      <c r="F7" s="51">
        <f>'Actual_Expenditure '!C38</f>
        <v>7940684127350.5293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x14ac:dyDescent="0.2">
      <c r="A8" s="37">
        <v>2023</v>
      </c>
      <c r="B8" s="43">
        <v>10484632843748.699</v>
      </c>
      <c r="C8" s="43">
        <v>10938414853846</v>
      </c>
      <c r="D8" s="3"/>
      <c r="E8" s="47">
        <f>Actual_Revenue!D38</f>
        <v>10748803140075.266</v>
      </c>
      <c r="F8" s="47">
        <f>'Actual_Expenditure '!D38</f>
        <v>9343361860340.8379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x14ac:dyDescent="0.2">
      <c r="A9" s="37">
        <v>2024</v>
      </c>
      <c r="B9" s="47">
        <f>'Total_Budget_Revenue '!C38</f>
        <v>15668697471227.523</v>
      </c>
      <c r="C9" s="47">
        <f>Total_Budget_Expenditure!C38</f>
        <v>16152730792628.381</v>
      </c>
      <c r="D9" s="3"/>
      <c r="E9" s="38">
        <f>Actual_Revenue!E38</f>
        <v>17948829835231.832</v>
      </c>
      <c r="F9" s="38">
        <f>'Actual_Expenditure '!E38</f>
        <v>15425370092761.984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x14ac:dyDescent="0.2">
      <c r="A10" s="37">
        <v>2025</v>
      </c>
      <c r="B10" s="89">
        <f>'Total_Budget_Revenue '!D38</f>
        <v>25379562613664.277</v>
      </c>
      <c r="C10" s="89">
        <f>Total_Budget_Expenditure!D38</f>
        <v>26616794157997.355</v>
      </c>
      <c r="D10" s="3"/>
      <c r="E10" s="90"/>
      <c r="F10" s="9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x14ac:dyDescent="0.2">
      <c r="A11" s="37">
        <v>2026</v>
      </c>
      <c r="B11" s="47">
        <f>'Total_Budget_Revenue '!E38</f>
        <v>34408443043068.285</v>
      </c>
      <c r="C11" s="47">
        <f>Total_Budget_Expenditure!E38</f>
        <v>35945909132476.391</v>
      </c>
      <c r="D11" s="37"/>
      <c r="E11" s="37"/>
      <c r="F11" s="3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x14ac:dyDescent="0.2">
      <c r="A12" s="3"/>
      <c r="B12" s="3"/>
      <c r="C12" s="1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2">
    <mergeCell ref="B1:C1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31"/>
  <sheetViews>
    <sheetView workbookViewId="0">
      <selection activeCell="C8" sqref="C8"/>
    </sheetView>
  </sheetViews>
  <sheetFormatPr baseColWidth="10" defaultColWidth="14.3984375" defaultRowHeight="15.75" customHeight="1" x14ac:dyDescent="0.2"/>
  <cols>
    <col min="1" max="1" width="5.3984375" style="11" bestFit="1" customWidth="1"/>
    <col min="2" max="2" width="14.3984375" style="11"/>
    <col min="3" max="3" width="23" style="11" customWidth="1"/>
    <col min="4" max="4" width="14.3984375" style="11"/>
    <col min="5" max="5" width="5.796875" style="11" bestFit="1" customWidth="1"/>
    <col min="6" max="6" width="14.3984375" style="11"/>
    <col min="7" max="7" width="22.59765625" style="11" bestFit="1" customWidth="1"/>
    <col min="8" max="16384" width="14.3984375" style="11"/>
  </cols>
  <sheetData>
    <row r="1" spans="1:7" ht="15.75" customHeight="1" x14ac:dyDescent="0.2">
      <c r="A1" s="100" t="s">
        <v>80</v>
      </c>
      <c r="B1" s="100"/>
      <c r="C1" s="100"/>
      <c r="E1" s="100" t="s">
        <v>83</v>
      </c>
      <c r="F1" s="100"/>
      <c r="G1" s="100"/>
    </row>
    <row r="2" spans="1:7" ht="15" x14ac:dyDescent="0.2">
      <c r="A2" s="14" t="s">
        <v>79</v>
      </c>
      <c r="B2" s="14" t="s">
        <v>1</v>
      </c>
      <c r="C2" s="14" t="s">
        <v>147</v>
      </c>
      <c r="E2" s="14" t="s">
        <v>79</v>
      </c>
      <c r="F2" s="14" t="s">
        <v>1</v>
      </c>
      <c r="G2" s="14" t="s">
        <v>147</v>
      </c>
    </row>
    <row r="3" spans="1:7" ht="15" x14ac:dyDescent="0.2">
      <c r="A3" s="15">
        <v>1</v>
      </c>
      <c r="B3" s="15" t="s">
        <v>38</v>
      </c>
      <c r="C3" s="12">
        <f>Total_Budget_Expenditure!E14</f>
        <v>415572070139.44373</v>
      </c>
      <c r="E3" s="15">
        <v>1</v>
      </c>
      <c r="F3" s="15" t="s">
        <v>56</v>
      </c>
      <c r="G3" s="56">
        <f>Total_Budget_Expenditure!E3</f>
        <v>583331380496</v>
      </c>
    </row>
    <row r="4" spans="1:7" ht="15" x14ac:dyDescent="0.2">
      <c r="A4" s="15">
        <v>2</v>
      </c>
      <c r="B4" s="15" t="s">
        <v>39</v>
      </c>
      <c r="C4" s="13">
        <f>Total_Budget_Expenditure!E25</f>
        <v>4444509776438.002</v>
      </c>
      <c r="E4" s="15">
        <v>2</v>
      </c>
      <c r="F4" s="15" t="s">
        <v>57</v>
      </c>
      <c r="G4" s="57">
        <f>Total_Budget_Expenditure!E6</f>
        <v>877052907899.99695</v>
      </c>
    </row>
    <row r="5" spans="1:7" ht="15" x14ac:dyDescent="0.2">
      <c r="A5" s="15">
        <v>3</v>
      </c>
      <c r="B5" s="15" t="s">
        <v>40</v>
      </c>
      <c r="C5" s="12">
        <f>Total_Budget_Expenditure!E29</f>
        <v>524410590939</v>
      </c>
      <c r="E5" s="15">
        <v>3</v>
      </c>
      <c r="F5" s="15" t="s">
        <v>58</v>
      </c>
      <c r="G5" s="56">
        <f>Total_Budget_Expenditure!E9</f>
        <v>892448411000</v>
      </c>
    </row>
    <row r="6" spans="1:7" ht="15" x14ac:dyDescent="0.2">
      <c r="A6" s="15">
        <v>4</v>
      </c>
      <c r="B6" s="15" t="s">
        <v>41</v>
      </c>
      <c r="C6" s="13">
        <f>Total_Budget_Expenditure!E30</f>
        <v>723454988670</v>
      </c>
      <c r="E6" s="15">
        <v>4</v>
      </c>
      <c r="F6" s="15" t="s">
        <v>59</v>
      </c>
      <c r="G6" s="56">
        <f>Total_Budget_Expenditure!E16</f>
        <v>617956083000</v>
      </c>
    </row>
    <row r="7" spans="1:7" ht="15" x14ac:dyDescent="0.2">
      <c r="A7" s="15">
        <v>5</v>
      </c>
      <c r="B7" s="15" t="s">
        <v>42</v>
      </c>
      <c r="C7" s="13">
        <f>Total_Budget_Expenditure!E31</f>
        <v>892085074480.79248</v>
      </c>
      <c r="E7" s="15">
        <v>5</v>
      </c>
      <c r="F7" s="15" t="s">
        <v>60</v>
      </c>
      <c r="G7" s="56">
        <f>Total_Budget_Expenditure!E35</f>
        <v>653631700000</v>
      </c>
    </row>
    <row r="8" spans="1:7" ht="15" x14ac:dyDescent="0.2">
      <c r="A8" s="15">
        <v>6</v>
      </c>
      <c r="B8" s="15" t="s">
        <v>43</v>
      </c>
      <c r="C8" s="13">
        <f>Total_Budget_Expenditure!E28</f>
        <v>1668997993125.4409</v>
      </c>
      <c r="E8" s="15">
        <v>6</v>
      </c>
      <c r="F8" s="15" t="s">
        <v>61</v>
      </c>
      <c r="G8" s="56">
        <f>Total_Budget_Expenditure!E36</f>
        <v>515532000000</v>
      </c>
    </row>
    <row r="9" spans="1:7" ht="15" x14ac:dyDescent="0.2"/>
    <row r="10" spans="1:7" ht="15.75" customHeight="1" x14ac:dyDescent="0.2">
      <c r="C10" s="32"/>
    </row>
    <row r="12" spans="1:7" ht="15.75" customHeight="1" x14ac:dyDescent="0.2">
      <c r="A12" s="101" t="s">
        <v>81</v>
      </c>
      <c r="B12" s="101"/>
      <c r="C12" s="101"/>
      <c r="E12" s="101" t="s">
        <v>84</v>
      </c>
      <c r="F12" s="101"/>
      <c r="G12" s="101"/>
    </row>
    <row r="13" spans="1:7" ht="15.75" customHeight="1" x14ac:dyDescent="0.2">
      <c r="A13" s="14" t="s">
        <v>79</v>
      </c>
      <c r="B13" s="14" t="s">
        <v>1</v>
      </c>
      <c r="C13" s="14" t="s">
        <v>147</v>
      </c>
      <c r="E13" s="14" t="s">
        <v>79</v>
      </c>
      <c r="F13" s="14" t="s">
        <v>1</v>
      </c>
      <c r="G13" s="14" t="s">
        <v>147</v>
      </c>
    </row>
    <row r="14" spans="1:7" ht="15.75" customHeight="1" x14ac:dyDescent="0.2">
      <c r="A14" s="15">
        <v>1</v>
      </c>
      <c r="B14" s="15" t="s">
        <v>44</v>
      </c>
      <c r="C14" s="58">
        <f>Total_Budget_Expenditure!E18</f>
        <v>901841000000</v>
      </c>
      <c r="E14" s="15">
        <v>1</v>
      </c>
      <c r="F14" s="15" t="s">
        <v>62</v>
      </c>
      <c r="G14" s="56">
        <f>Total_Budget_Expenditure!E4</f>
        <v>1584271856630</v>
      </c>
    </row>
    <row r="15" spans="1:7" ht="15.75" customHeight="1" x14ac:dyDescent="0.2">
      <c r="A15" s="15">
        <v>2</v>
      </c>
      <c r="B15" s="15" t="s">
        <v>45</v>
      </c>
      <c r="C15" s="59">
        <f>Total_Budget_Expenditure!E20</f>
        <v>1477829666130.7065</v>
      </c>
      <c r="E15" s="15">
        <v>2</v>
      </c>
      <c r="F15" s="15" t="s">
        <v>63</v>
      </c>
      <c r="G15" s="56">
        <f>Total_Budget_Expenditure!E7</f>
        <v>1016071313943.0356</v>
      </c>
    </row>
    <row r="16" spans="1:7" ht="15.75" customHeight="1" x14ac:dyDescent="0.2">
      <c r="A16" s="15">
        <v>3</v>
      </c>
      <c r="B16" s="15" t="s">
        <v>46</v>
      </c>
      <c r="C16" s="59">
        <f>Total_Budget_Expenditure!E21</f>
        <v>897865078282.0498</v>
      </c>
      <c r="E16" s="15">
        <v>3</v>
      </c>
      <c r="F16" s="15" t="s">
        <v>64</v>
      </c>
      <c r="G16" s="56">
        <f>Total_Budget_Expenditure!E10</f>
        <v>961624047275.07983</v>
      </c>
    </row>
    <row r="17" spans="1:7" ht="15.75" customHeight="1" x14ac:dyDescent="0.2">
      <c r="A17" s="15">
        <v>4</v>
      </c>
      <c r="B17" s="15" t="s">
        <v>47</v>
      </c>
      <c r="C17" s="60">
        <f>Total_Budget_Expenditure!E19</f>
        <v>985915136574.60864</v>
      </c>
      <c r="E17" s="15">
        <v>4</v>
      </c>
      <c r="F17" s="15" t="s">
        <v>65</v>
      </c>
      <c r="G17" s="56">
        <f>Total_Budget_Expenditure!E11</f>
        <v>1729881208779.0002</v>
      </c>
    </row>
    <row r="18" spans="1:7" ht="15.75" customHeight="1" x14ac:dyDescent="0.2">
      <c r="A18" s="15">
        <v>5</v>
      </c>
      <c r="B18" s="15" t="s">
        <v>48</v>
      </c>
      <c r="C18" s="59">
        <f>Total_Budget_Expenditure!E22</f>
        <v>642930818157.98486</v>
      </c>
      <c r="E18" s="15">
        <v>5</v>
      </c>
      <c r="F18" s="15" t="s">
        <v>66</v>
      </c>
      <c r="G18" s="56">
        <f>Total_Budget_Expenditure!E13</f>
        <v>939850000000</v>
      </c>
    </row>
    <row r="19" spans="1:7" ht="15.75" customHeight="1" x14ac:dyDescent="0.2">
      <c r="A19" s="15">
        <v>6</v>
      </c>
      <c r="B19" s="15" t="s">
        <v>50</v>
      </c>
      <c r="C19" s="60">
        <f>Total_Budget_Expenditure!E34</f>
        <v>758700526537.88916</v>
      </c>
      <c r="E19" s="15">
        <v>6</v>
      </c>
      <c r="F19" s="15" t="s">
        <v>67</v>
      </c>
      <c r="G19" s="56">
        <f>Total_Budget_Expenditure!E33</f>
        <v>0</v>
      </c>
    </row>
    <row r="20" spans="1:7" ht="15.75" customHeight="1" x14ac:dyDescent="0.2">
      <c r="A20" s="15">
        <v>7</v>
      </c>
      <c r="B20" s="15" t="s">
        <v>49</v>
      </c>
      <c r="C20" s="59">
        <f>Total_Budget_Expenditure!E37</f>
        <v>871337000000.0022</v>
      </c>
    </row>
    <row r="24" spans="1:7" ht="15.75" customHeight="1" x14ac:dyDescent="0.2">
      <c r="A24" s="101" t="s">
        <v>82</v>
      </c>
      <c r="B24" s="101"/>
      <c r="C24" s="101"/>
      <c r="E24" s="101" t="s">
        <v>85</v>
      </c>
      <c r="F24" s="101"/>
      <c r="G24" s="101"/>
    </row>
    <row r="25" spans="1:7" ht="15.75" customHeight="1" x14ac:dyDescent="0.2">
      <c r="A25" s="14" t="s">
        <v>79</v>
      </c>
      <c r="B25" s="14" t="s">
        <v>1</v>
      </c>
      <c r="C25" s="14" t="s">
        <v>147</v>
      </c>
      <c r="E25" s="14" t="s">
        <v>79</v>
      </c>
      <c r="F25" s="14" t="s">
        <v>1</v>
      </c>
      <c r="G25" s="14" t="s">
        <v>147</v>
      </c>
    </row>
    <row r="26" spans="1:7" ht="15.75" customHeight="1" x14ac:dyDescent="0.2">
      <c r="A26" s="15">
        <v>1</v>
      </c>
      <c r="B26" s="15" t="s">
        <v>51</v>
      </c>
      <c r="C26" s="13">
        <f>Total_Budget_Expenditure!E2</f>
        <v>1016228072650.0029</v>
      </c>
      <c r="E26" s="15">
        <v>1</v>
      </c>
      <c r="F26" s="15" t="s">
        <v>68</v>
      </c>
      <c r="G26" s="56">
        <f>Total_Budget_Expenditure!E8</f>
        <v>695011237687.27026</v>
      </c>
    </row>
    <row r="27" spans="1:7" ht="15.75" customHeight="1" x14ac:dyDescent="0.2">
      <c r="A27" s="15">
        <v>2</v>
      </c>
      <c r="B27" s="15" t="s">
        <v>52</v>
      </c>
      <c r="C27" s="12">
        <f>Total_Budget_Expenditure!E17</f>
        <v>1474220851856.4702</v>
      </c>
      <c r="E27" s="15">
        <v>2</v>
      </c>
      <c r="F27" s="15" t="s">
        <v>69</v>
      </c>
      <c r="G27" s="56">
        <f>Total_Budget_Expenditure!E23</f>
        <v>820490585443</v>
      </c>
    </row>
    <row r="28" spans="1:7" ht="15.75" customHeight="1" x14ac:dyDescent="0.2">
      <c r="A28" s="15">
        <v>3</v>
      </c>
      <c r="B28" s="15" t="s">
        <v>53</v>
      </c>
      <c r="C28" s="12">
        <f>Total_Budget_Expenditure!E12</f>
        <v>885807118099.17993</v>
      </c>
      <c r="E28" s="15">
        <v>3</v>
      </c>
      <c r="F28" s="15" t="s">
        <v>70</v>
      </c>
      <c r="G28" s="56">
        <f>Total_Budget_Expenditure!E24</f>
        <v>656595559298.48999</v>
      </c>
    </row>
    <row r="29" spans="1:7" ht="15.75" customHeight="1" x14ac:dyDescent="0.2">
      <c r="A29" s="15">
        <v>4</v>
      </c>
      <c r="B29" s="15" t="s">
        <v>54</v>
      </c>
      <c r="C29" s="12">
        <f>Total_Budget_Expenditure!E15</f>
        <v>1617397465000</v>
      </c>
      <c r="E29" s="15">
        <v>4</v>
      </c>
      <c r="F29" s="15" t="s">
        <v>71</v>
      </c>
      <c r="G29" s="56">
        <f>Total_Budget_Expenditure!E26</f>
        <v>545182100910.76599</v>
      </c>
    </row>
    <row r="30" spans="1:7" ht="15.75" customHeight="1" x14ac:dyDescent="0.2">
      <c r="A30" s="15">
        <v>5</v>
      </c>
      <c r="B30" s="15" t="s">
        <v>55</v>
      </c>
      <c r="C30" s="13">
        <f>Total_Budget_Expenditure!E5</f>
        <v>766374487705.17993</v>
      </c>
      <c r="E30" s="15">
        <v>5</v>
      </c>
      <c r="F30" s="15" t="s">
        <v>72</v>
      </c>
      <c r="G30" s="56">
        <f>Total_Budget_Expenditure!E27</f>
        <v>1073991335895.0013</v>
      </c>
    </row>
    <row r="31" spans="1:7" ht="15.75" customHeight="1" x14ac:dyDescent="0.2">
      <c r="E31" s="15">
        <v>6</v>
      </c>
      <c r="F31" s="15" t="s">
        <v>73</v>
      </c>
      <c r="G31" s="56">
        <f>Total_Budget_Expenditure!E32</f>
        <v>817509689431.99792</v>
      </c>
    </row>
  </sheetData>
  <mergeCells count="6">
    <mergeCell ref="A1:C1"/>
    <mergeCell ref="A12:C12"/>
    <mergeCell ref="A24:C24"/>
    <mergeCell ref="E1:G1"/>
    <mergeCell ref="E12:G12"/>
    <mergeCell ref="E24:G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9B3C-F9EF-3C4D-9F6B-989502564139}">
  <dimension ref="A1:G75"/>
  <sheetViews>
    <sheetView topLeftCell="A14" workbookViewId="0">
      <selection activeCell="C60" sqref="C60"/>
    </sheetView>
  </sheetViews>
  <sheetFormatPr baseColWidth="10" defaultColWidth="11" defaultRowHeight="18" x14ac:dyDescent="0.25"/>
  <cols>
    <col min="1" max="1" width="11" style="17"/>
    <col min="2" max="2" width="40" style="17" bestFit="1" customWidth="1"/>
    <col min="3" max="3" width="26.19921875" style="17" bestFit="1" customWidth="1"/>
    <col min="4" max="4" width="25.796875" style="17" bestFit="1" customWidth="1"/>
    <col min="5" max="5" width="26.59765625" style="17" bestFit="1" customWidth="1"/>
    <col min="6" max="6" width="11" style="17"/>
    <col min="7" max="7" width="26.59765625" style="17" bestFit="1" customWidth="1"/>
    <col min="8" max="16384" width="11" style="17"/>
  </cols>
  <sheetData>
    <row r="1" spans="1:7" ht="19" thickBot="1" x14ac:dyDescent="0.3"/>
    <row r="2" spans="1:7" x14ac:dyDescent="0.25">
      <c r="A2" s="94" t="s">
        <v>100</v>
      </c>
      <c r="B2" s="95"/>
      <c r="C2" s="95"/>
      <c r="D2" s="95"/>
      <c r="E2" s="96"/>
    </row>
    <row r="3" spans="1:7" x14ac:dyDescent="0.25">
      <c r="A3" s="19" t="s">
        <v>79</v>
      </c>
      <c r="B3" s="27" t="s">
        <v>98</v>
      </c>
      <c r="C3" s="28" t="s">
        <v>95</v>
      </c>
      <c r="D3" s="28" t="s">
        <v>96</v>
      </c>
      <c r="E3" s="20" t="s">
        <v>97</v>
      </c>
    </row>
    <row r="4" spans="1:7" x14ac:dyDescent="0.25">
      <c r="A4" s="21">
        <v>1</v>
      </c>
      <c r="B4" s="18" t="s">
        <v>86</v>
      </c>
      <c r="C4" s="31">
        <v>2273070929585.1899</v>
      </c>
      <c r="D4" s="31">
        <v>1257380536742.1899</v>
      </c>
      <c r="E4" s="22">
        <f>SUM(C4:D4)</f>
        <v>3530451466327.3799</v>
      </c>
    </row>
    <row r="5" spans="1:7" x14ac:dyDescent="0.25">
      <c r="A5" s="21">
        <v>2</v>
      </c>
      <c r="B5" s="18" t="s">
        <v>87</v>
      </c>
      <c r="C5" s="31">
        <v>247922383989.09</v>
      </c>
      <c r="D5" s="31">
        <v>143211600571.42001</v>
      </c>
      <c r="E5" s="22">
        <f t="shared" ref="E5:E12" si="0">SUM(C5:D5)</f>
        <v>391133984560.51001</v>
      </c>
    </row>
    <row r="6" spans="1:7" x14ac:dyDescent="0.25">
      <c r="A6" s="21">
        <v>3</v>
      </c>
      <c r="B6" s="18" t="s">
        <v>88</v>
      </c>
      <c r="C6" s="31">
        <v>429036633051.58002</v>
      </c>
      <c r="D6" s="31">
        <v>2237178663350.8901</v>
      </c>
      <c r="E6" s="22">
        <f t="shared" si="0"/>
        <v>2666215296402.4702</v>
      </c>
    </row>
    <row r="7" spans="1:7" x14ac:dyDescent="0.25">
      <c r="A7" s="21">
        <v>4</v>
      </c>
      <c r="B7" s="18" t="s">
        <v>89</v>
      </c>
      <c r="C7" s="31">
        <v>62464039271.379997</v>
      </c>
      <c r="D7" s="31">
        <v>183649492654.07001</v>
      </c>
      <c r="E7" s="22">
        <f t="shared" si="0"/>
        <v>246113531925.45001</v>
      </c>
    </row>
    <row r="8" spans="1:7" x14ac:dyDescent="0.25">
      <c r="A8" s="21">
        <v>5</v>
      </c>
      <c r="B8" s="18" t="s">
        <v>90</v>
      </c>
      <c r="C8" s="31">
        <v>271150415176.92999</v>
      </c>
      <c r="D8" s="31">
        <v>551080153287.20996</v>
      </c>
      <c r="E8" s="22">
        <f t="shared" si="0"/>
        <v>822230568464.13989</v>
      </c>
    </row>
    <row r="9" spans="1:7" x14ac:dyDescent="0.25">
      <c r="A9" s="21">
        <v>6</v>
      </c>
      <c r="B9" s="18" t="s">
        <v>91</v>
      </c>
      <c r="C9" s="31">
        <v>373804583770.71997</v>
      </c>
      <c r="D9" s="31">
        <v>461246107350.28003</v>
      </c>
      <c r="E9" s="22">
        <f t="shared" si="0"/>
        <v>835050691121</v>
      </c>
    </row>
    <row r="10" spans="1:7" x14ac:dyDescent="0.25">
      <c r="A10" s="21">
        <v>7</v>
      </c>
      <c r="B10" s="18" t="s">
        <v>92</v>
      </c>
      <c r="C10" s="31">
        <v>120961941317.42</v>
      </c>
      <c r="D10" s="31">
        <v>108867817519.84</v>
      </c>
      <c r="E10" s="22">
        <f t="shared" si="0"/>
        <v>229829758837.26001</v>
      </c>
    </row>
    <row r="11" spans="1:7" x14ac:dyDescent="0.25">
      <c r="A11" s="21">
        <v>8</v>
      </c>
      <c r="B11" s="18" t="s">
        <v>93</v>
      </c>
      <c r="C11" s="31">
        <v>929133499930.28003</v>
      </c>
      <c r="D11" s="31">
        <v>685036980107.47998</v>
      </c>
      <c r="E11" s="22">
        <f t="shared" si="0"/>
        <v>1614170480037.76</v>
      </c>
    </row>
    <row r="12" spans="1:7" x14ac:dyDescent="0.25">
      <c r="A12" s="21">
        <v>9</v>
      </c>
      <c r="B12" s="18" t="s">
        <v>94</v>
      </c>
      <c r="C12" s="31">
        <v>457541136264.46997</v>
      </c>
      <c r="D12" s="31">
        <v>145223868333.57001</v>
      </c>
      <c r="E12" s="22">
        <f t="shared" si="0"/>
        <v>602765004598.04004</v>
      </c>
      <c r="G12" s="16"/>
    </row>
    <row r="13" spans="1:7" x14ac:dyDescent="0.25">
      <c r="A13" s="23"/>
      <c r="C13" s="16"/>
      <c r="E13" s="24"/>
    </row>
    <row r="14" spans="1:7" x14ac:dyDescent="0.25">
      <c r="A14" s="23"/>
      <c r="E14" s="24" t="s">
        <v>99</v>
      </c>
    </row>
    <row r="15" spans="1:7" ht="19" thickBot="1" x14ac:dyDescent="0.3">
      <c r="A15" s="25"/>
      <c r="B15" s="29"/>
      <c r="C15" s="26">
        <f>SUM(C4:C12)</f>
        <v>5165085562357.0596</v>
      </c>
      <c r="D15" s="26">
        <f>SUM(D4:D12)</f>
        <v>5772875219916.9492</v>
      </c>
      <c r="E15" s="30">
        <f>SUM(C15:D15)</f>
        <v>10937960782274.008</v>
      </c>
    </row>
    <row r="17" spans="1:5" ht="19" thickBot="1" x14ac:dyDescent="0.3"/>
    <row r="18" spans="1:5" x14ac:dyDescent="0.25">
      <c r="A18" s="94" t="s">
        <v>107</v>
      </c>
      <c r="B18" s="95"/>
      <c r="C18" s="95"/>
      <c r="D18" s="95"/>
      <c r="E18" s="96"/>
    </row>
    <row r="19" spans="1:5" x14ac:dyDescent="0.25">
      <c r="A19" s="19" t="s">
        <v>79</v>
      </c>
      <c r="B19" s="27" t="s">
        <v>98</v>
      </c>
      <c r="C19" s="28" t="s">
        <v>95</v>
      </c>
      <c r="D19" s="28" t="s">
        <v>96</v>
      </c>
      <c r="E19" s="20" t="s">
        <v>97</v>
      </c>
    </row>
    <row r="20" spans="1:5" x14ac:dyDescent="0.25">
      <c r="A20" s="21">
        <v>1</v>
      </c>
      <c r="B20" s="18" t="s">
        <v>86</v>
      </c>
      <c r="C20" s="31">
        <v>2640654860378.7832</v>
      </c>
      <c r="D20" s="31">
        <v>2110545188569.2759</v>
      </c>
      <c r="E20" s="22">
        <f>SUM(C20:D20)</f>
        <v>4751200048948.0586</v>
      </c>
    </row>
    <row r="21" spans="1:5" x14ac:dyDescent="0.25">
      <c r="A21" s="21">
        <v>2</v>
      </c>
      <c r="B21" s="18" t="s">
        <v>87</v>
      </c>
      <c r="C21" s="31">
        <v>356174623060.01123</v>
      </c>
      <c r="D21" s="31">
        <v>247743999457.59363</v>
      </c>
      <c r="E21" s="22">
        <f t="shared" ref="E21:E28" si="1">SUM(C21:D21)</f>
        <v>603918622517.60486</v>
      </c>
    </row>
    <row r="22" spans="1:5" x14ac:dyDescent="0.25">
      <c r="A22" s="21">
        <v>3</v>
      </c>
      <c r="B22" s="18" t="s">
        <v>88</v>
      </c>
      <c r="C22" s="31">
        <v>286975721202.88385</v>
      </c>
      <c r="D22" s="31">
        <v>3915352276192.29</v>
      </c>
      <c r="E22" s="22">
        <f t="shared" si="1"/>
        <v>4202327997395.1738</v>
      </c>
    </row>
    <row r="23" spans="1:5" x14ac:dyDescent="0.25">
      <c r="A23" s="21">
        <v>4</v>
      </c>
      <c r="B23" s="18" t="s">
        <v>89</v>
      </c>
      <c r="C23" s="31">
        <v>80020162704.458817</v>
      </c>
      <c r="D23" s="31">
        <v>256467612896.01331</v>
      </c>
      <c r="E23" s="22">
        <f t="shared" si="1"/>
        <v>336487775600.47211</v>
      </c>
    </row>
    <row r="24" spans="1:5" x14ac:dyDescent="0.25">
      <c r="A24" s="21">
        <v>5</v>
      </c>
      <c r="B24" s="18" t="s">
        <v>90</v>
      </c>
      <c r="C24" s="31">
        <v>180761636982.39389</v>
      </c>
      <c r="D24" s="31">
        <v>946711598548.16248</v>
      </c>
      <c r="E24" s="22">
        <f t="shared" si="1"/>
        <v>1127473235530.5564</v>
      </c>
    </row>
    <row r="25" spans="1:5" x14ac:dyDescent="0.25">
      <c r="A25" s="21">
        <v>6</v>
      </c>
      <c r="B25" s="18" t="s">
        <v>91</v>
      </c>
      <c r="C25" s="31">
        <v>569751021740.58972</v>
      </c>
      <c r="D25" s="31">
        <v>790328714325.94995</v>
      </c>
      <c r="E25" s="22">
        <f t="shared" si="1"/>
        <v>1360079736066.5396</v>
      </c>
    </row>
    <row r="26" spans="1:5" x14ac:dyDescent="0.25">
      <c r="A26" s="21">
        <v>7</v>
      </c>
      <c r="B26" s="18" t="s">
        <v>92</v>
      </c>
      <c r="C26" s="31">
        <v>183748058202.32025</v>
      </c>
      <c r="D26" s="31">
        <v>208050257163.05322</v>
      </c>
      <c r="E26" s="22">
        <f t="shared" si="1"/>
        <v>391798315365.37347</v>
      </c>
    </row>
    <row r="27" spans="1:5" x14ac:dyDescent="0.25">
      <c r="A27" s="21">
        <v>8</v>
      </c>
      <c r="B27" s="18" t="s">
        <v>93</v>
      </c>
      <c r="C27" s="31">
        <v>1172890945016.7161</v>
      </c>
      <c r="D27" s="31">
        <v>1262635362721.8025</v>
      </c>
      <c r="E27" s="22">
        <f t="shared" si="1"/>
        <v>2435526307738.5186</v>
      </c>
    </row>
    <row r="28" spans="1:5" x14ac:dyDescent="0.25">
      <c r="A28" s="21">
        <v>9</v>
      </c>
      <c r="B28" s="18" t="s">
        <v>94</v>
      </c>
      <c r="C28" s="31">
        <v>741498133845.69287</v>
      </c>
      <c r="D28" s="31">
        <v>202420619620.44</v>
      </c>
      <c r="E28" s="22">
        <f t="shared" si="1"/>
        <v>943918753466.13281</v>
      </c>
    </row>
    <row r="29" spans="1:5" x14ac:dyDescent="0.25">
      <c r="A29" s="23"/>
      <c r="C29" s="16"/>
      <c r="E29" s="24"/>
    </row>
    <row r="30" spans="1:5" x14ac:dyDescent="0.25">
      <c r="A30" s="23"/>
      <c r="E30" s="24" t="s">
        <v>99</v>
      </c>
    </row>
    <row r="31" spans="1:5" ht="19" thickBot="1" x14ac:dyDescent="0.3">
      <c r="A31" s="25"/>
      <c r="B31" s="29"/>
      <c r="C31" s="26">
        <f>SUM(C20:C28)</f>
        <v>6212475163133.8496</v>
      </c>
      <c r="D31" s="26">
        <f>SUM(D20:D28)</f>
        <v>9940255629494.582</v>
      </c>
      <c r="E31" s="30">
        <f>SUM(C31:D31)</f>
        <v>16152730792628.432</v>
      </c>
    </row>
    <row r="32" spans="1:5" ht="19" thickBot="1" x14ac:dyDescent="0.3"/>
    <row r="33" spans="1:5" x14ac:dyDescent="0.25">
      <c r="A33" s="94" t="s">
        <v>137</v>
      </c>
      <c r="B33" s="95"/>
      <c r="C33" s="95"/>
      <c r="D33" s="95"/>
      <c r="E33" s="96"/>
    </row>
    <row r="34" spans="1:5" x14ac:dyDescent="0.25">
      <c r="A34" s="19" t="s">
        <v>79</v>
      </c>
      <c r="B34" s="27" t="s">
        <v>98</v>
      </c>
      <c r="C34" s="28" t="s">
        <v>95</v>
      </c>
      <c r="D34" s="28" t="s">
        <v>96</v>
      </c>
      <c r="E34" s="20" t="s">
        <v>97</v>
      </c>
    </row>
    <row r="35" spans="1:5" x14ac:dyDescent="0.25">
      <c r="A35" s="21">
        <v>1</v>
      </c>
      <c r="B35" s="18" t="s">
        <v>86</v>
      </c>
      <c r="C35" s="31">
        <v>3647789556488.0825</v>
      </c>
      <c r="D35" s="31">
        <v>2283986731092.3501</v>
      </c>
      <c r="E35" s="22">
        <f>SUM(C35:D35)</f>
        <v>5931776287580.4326</v>
      </c>
    </row>
    <row r="36" spans="1:5" x14ac:dyDescent="0.25">
      <c r="A36" s="21">
        <v>2</v>
      </c>
      <c r="B36" s="18" t="s">
        <v>87</v>
      </c>
      <c r="C36" s="31">
        <v>531255151205.48834</v>
      </c>
      <c r="D36" s="31">
        <v>473158033839.98993</v>
      </c>
      <c r="E36" s="22">
        <f t="shared" ref="E36:E43" si="2">SUM(C36:D36)</f>
        <v>1004413185045.4783</v>
      </c>
    </row>
    <row r="37" spans="1:5" x14ac:dyDescent="0.25">
      <c r="A37" s="21">
        <v>3</v>
      </c>
      <c r="B37" s="18" t="s">
        <v>88</v>
      </c>
      <c r="C37" s="31">
        <v>452306251097.82397</v>
      </c>
      <c r="D37" s="31">
        <v>8292249466005.71</v>
      </c>
      <c r="E37" s="22">
        <f t="shared" si="2"/>
        <v>8744555717103.5342</v>
      </c>
    </row>
    <row r="38" spans="1:5" x14ac:dyDescent="0.25">
      <c r="A38" s="21">
        <v>4</v>
      </c>
      <c r="B38" s="18" t="s">
        <v>89</v>
      </c>
      <c r="C38" s="31">
        <v>136074219502.03003</v>
      </c>
      <c r="D38" s="31">
        <v>549081034999.65002</v>
      </c>
      <c r="E38" s="22">
        <f t="shared" si="2"/>
        <v>685155254501.68005</v>
      </c>
    </row>
    <row r="39" spans="1:5" x14ac:dyDescent="0.25">
      <c r="A39" s="21">
        <v>5</v>
      </c>
      <c r="B39" s="18" t="s">
        <v>90</v>
      </c>
      <c r="C39" s="31">
        <v>251327229160.70901</v>
      </c>
      <c r="D39" s="31">
        <v>1802720395700.1399</v>
      </c>
      <c r="E39" s="22">
        <f t="shared" si="2"/>
        <v>2054047624860.8489</v>
      </c>
    </row>
    <row r="40" spans="1:5" x14ac:dyDescent="0.25">
      <c r="A40" s="21">
        <v>6</v>
      </c>
      <c r="B40" s="18" t="s">
        <v>91</v>
      </c>
      <c r="C40" s="31">
        <v>786658121792.20337</v>
      </c>
      <c r="D40" s="31">
        <v>1507399215539.6799</v>
      </c>
      <c r="E40" s="22">
        <f t="shared" si="2"/>
        <v>2294057337331.8833</v>
      </c>
    </row>
    <row r="41" spans="1:5" x14ac:dyDescent="0.25">
      <c r="A41" s="21">
        <v>7</v>
      </c>
      <c r="B41" s="18" t="s">
        <v>92</v>
      </c>
      <c r="C41" s="31">
        <v>255173385646.86673</v>
      </c>
      <c r="D41" s="31">
        <v>356014157178.59998</v>
      </c>
      <c r="E41" s="22">
        <f t="shared" si="2"/>
        <v>611187542825.46667</v>
      </c>
    </row>
    <row r="42" spans="1:5" x14ac:dyDescent="0.25">
      <c r="A42" s="21">
        <v>8</v>
      </c>
      <c r="B42" s="18" t="s">
        <v>93</v>
      </c>
      <c r="C42" s="31">
        <v>1662761269321.1765</v>
      </c>
      <c r="D42" s="31">
        <v>2235137123876.7998</v>
      </c>
      <c r="E42" s="22">
        <f t="shared" si="2"/>
        <v>3897898393197.9766</v>
      </c>
    </row>
    <row r="43" spans="1:5" x14ac:dyDescent="0.25">
      <c r="A43" s="21">
        <v>9</v>
      </c>
      <c r="B43" s="18" t="s">
        <v>94</v>
      </c>
      <c r="C43" s="31">
        <v>1022922678072.9282</v>
      </c>
      <c r="D43" s="31">
        <v>370780137477.23999</v>
      </c>
      <c r="E43" s="22">
        <f t="shared" si="2"/>
        <v>1393702815550.1682</v>
      </c>
    </row>
    <row r="44" spans="1:5" x14ac:dyDescent="0.25">
      <c r="A44" s="23"/>
      <c r="C44" s="16"/>
      <c r="E44" s="24"/>
    </row>
    <row r="45" spans="1:5" x14ac:dyDescent="0.25">
      <c r="A45" s="23"/>
      <c r="E45" s="63" t="s">
        <v>99</v>
      </c>
    </row>
    <row r="46" spans="1:5" ht="19" thickBot="1" x14ac:dyDescent="0.3">
      <c r="A46" s="25"/>
      <c r="B46" s="29"/>
      <c r="C46" s="61">
        <f>SUM(C35:C43)</f>
        <v>8746267862287.3086</v>
      </c>
      <c r="D46" s="61">
        <f>SUM(D35:D43)</f>
        <v>17870526295710.16</v>
      </c>
      <c r="E46" s="62">
        <f>SUM(C46:D46)</f>
        <v>26616794157997.469</v>
      </c>
    </row>
    <row r="50" spans="1:5" ht="19" thickBot="1" x14ac:dyDescent="0.3"/>
    <row r="51" spans="1:5" x14ac:dyDescent="0.25">
      <c r="A51" s="94" t="s">
        <v>148</v>
      </c>
      <c r="B51" s="95"/>
      <c r="C51" s="95"/>
      <c r="D51" s="95"/>
      <c r="E51" s="96"/>
    </row>
    <row r="52" spans="1:5" x14ac:dyDescent="0.25">
      <c r="A52" s="19" t="s">
        <v>79</v>
      </c>
      <c r="B52" s="27" t="s">
        <v>98</v>
      </c>
      <c r="C52" s="28" t="s">
        <v>95</v>
      </c>
      <c r="D52" s="28" t="s">
        <v>96</v>
      </c>
      <c r="E52" s="20" t="s">
        <v>97</v>
      </c>
    </row>
    <row r="53" spans="1:5" x14ac:dyDescent="0.25">
      <c r="A53" s="21">
        <v>1</v>
      </c>
      <c r="B53" s="18" t="s">
        <v>86</v>
      </c>
      <c r="C53" s="31">
        <v>5141749768900.9707</v>
      </c>
      <c r="D53" s="31">
        <v>2832366339545.4282</v>
      </c>
      <c r="E53" s="22">
        <f>SUM(C53:D53)</f>
        <v>7974116108446.3984</v>
      </c>
    </row>
    <row r="54" spans="1:5" x14ac:dyDescent="0.25">
      <c r="A54" s="21">
        <v>2</v>
      </c>
      <c r="B54" s="18" t="s">
        <v>87</v>
      </c>
      <c r="C54" s="31">
        <v>678041258498.22949</v>
      </c>
      <c r="D54" s="31">
        <v>505314346188.74084</v>
      </c>
      <c r="E54" s="22">
        <f t="shared" ref="E54:E61" si="3">SUM(C54:D54)</f>
        <v>1183355604686.9702</v>
      </c>
    </row>
    <row r="55" spans="1:5" x14ac:dyDescent="0.25">
      <c r="A55" s="21">
        <v>3</v>
      </c>
      <c r="B55" s="18" t="s">
        <v>88</v>
      </c>
      <c r="C55" s="31">
        <v>638819691873.8186</v>
      </c>
      <c r="D55" s="31">
        <v>11297499197965.779</v>
      </c>
      <c r="E55" s="22">
        <f t="shared" si="3"/>
        <v>11936318889839.598</v>
      </c>
    </row>
    <row r="56" spans="1:5" x14ac:dyDescent="0.25">
      <c r="A56" s="21">
        <v>4</v>
      </c>
      <c r="B56" s="18" t="s">
        <v>89</v>
      </c>
      <c r="C56" s="31">
        <v>177331167757.46295</v>
      </c>
      <c r="D56" s="31">
        <v>521136256843.09314</v>
      </c>
      <c r="E56" s="22">
        <f t="shared" si="3"/>
        <v>698467424600.55615</v>
      </c>
    </row>
    <row r="57" spans="1:5" x14ac:dyDescent="0.25">
      <c r="A57" s="21">
        <v>5</v>
      </c>
      <c r="B57" s="18" t="s">
        <v>90</v>
      </c>
      <c r="C57" s="31">
        <v>343103454980.29822</v>
      </c>
      <c r="D57" s="31">
        <v>2682118354885.9941</v>
      </c>
      <c r="E57" s="22">
        <f t="shared" si="3"/>
        <v>3025221809866.2925</v>
      </c>
    </row>
    <row r="58" spans="1:5" x14ac:dyDescent="0.25">
      <c r="A58" s="21">
        <v>6</v>
      </c>
      <c r="B58" s="18" t="s">
        <v>91</v>
      </c>
      <c r="C58" s="31">
        <v>1129115926715.7097</v>
      </c>
      <c r="D58" s="31">
        <v>2210512653473.9722</v>
      </c>
      <c r="E58" s="22">
        <f t="shared" si="3"/>
        <v>3339628580189.6816</v>
      </c>
    </row>
    <row r="59" spans="1:5" x14ac:dyDescent="0.25">
      <c r="A59" s="21">
        <v>7</v>
      </c>
      <c r="B59" s="18" t="s">
        <v>92</v>
      </c>
      <c r="C59" s="31">
        <v>361135243215.92615</v>
      </c>
      <c r="D59" s="31">
        <v>530116611627.27399</v>
      </c>
      <c r="E59" s="22">
        <f t="shared" si="3"/>
        <v>891251854843.2002</v>
      </c>
    </row>
    <row r="60" spans="1:5" x14ac:dyDescent="0.25">
      <c r="A60" s="21">
        <v>8</v>
      </c>
      <c r="B60" s="18" t="s">
        <v>93</v>
      </c>
      <c r="C60" s="31">
        <v>2067840417898.1855</v>
      </c>
      <c r="D60" s="31">
        <v>3118412057418.1245</v>
      </c>
      <c r="E60" s="22">
        <f t="shared" si="3"/>
        <v>5186252475316.3105</v>
      </c>
    </row>
    <row r="61" spans="1:5" x14ac:dyDescent="0.25">
      <c r="A61" s="21">
        <v>9</v>
      </c>
      <c r="B61" s="18" t="s">
        <v>94</v>
      </c>
      <c r="C61" s="31">
        <v>1251093810919.9431</v>
      </c>
      <c r="D61" s="31">
        <v>503055667393.19067</v>
      </c>
      <c r="E61" s="22">
        <f t="shared" si="3"/>
        <v>1754149478313.1338</v>
      </c>
    </row>
    <row r="62" spans="1:5" x14ac:dyDescent="0.25">
      <c r="A62" s="23"/>
      <c r="C62" s="16"/>
      <c r="E62" s="24"/>
    </row>
    <row r="63" spans="1:5" x14ac:dyDescent="0.25">
      <c r="A63" s="23"/>
      <c r="E63" s="63" t="s">
        <v>99</v>
      </c>
    </row>
    <row r="64" spans="1:5" ht="19" thickBot="1" x14ac:dyDescent="0.3">
      <c r="A64" s="25"/>
      <c r="B64" s="29"/>
      <c r="C64" s="61">
        <f>SUM(C53:C61)</f>
        <v>11788230740760.545</v>
      </c>
      <c r="D64" s="61">
        <f>SUM(D53:D61)</f>
        <v>24200531485341.602</v>
      </c>
      <c r="E64" s="62">
        <f>SUM(C64:D64)</f>
        <v>35988762226102.148</v>
      </c>
    </row>
    <row r="67" spans="3:4" x14ac:dyDescent="0.25">
      <c r="C67" s="91"/>
      <c r="D67" s="91"/>
    </row>
    <row r="68" spans="3:4" x14ac:dyDescent="0.25">
      <c r="C68" s="91"/>
      <c r="D68" s="91"/>
    </row>
    <row r="69" spans="3:4" x14ac:dyDescent="0.25">
      <c r="C69" s="91"/>
      <c r="D69" s="91"/>
    </row>
    <row r="70" spans="3:4" x14ac:dyDescent="0.25">
      <c r="C70" s="91"/>
      <c r="D70" s="91"/>
    </row>
    <row r="71" spans="3:4" x14ac:dyDescent="0.25">
      <c r="C71" s="91"/>
      <c r="D71" s="91"/>
    </row>
    <row r="72" spans="3:4" x14ac:dyDescent="0.25">
      <c r="C72" s="91"/>
      <c r="D72" s="91"/>
    </row>
    <row r="73" spans="3:4" x14ac:dyDescent="0.25">
      <c r="C73" s="91"/>
      <c r="D73" s="91"/>
    </row>
    <row r="74" spans="3:4" x14ac:dyDescent="0.25">
      <c r="C74" s="91"/>
      <c r="D74" s="91"/>
    </row>
    <row r="75" spans="3:4" x14ac:dyDescent="0.25">
      <c r="C75" s="91"/>
      <c r="D75" s="91"/>
    </row>
  </sheetData>
  <mergeCells count="4">
    <mergeCell ref="A2:E2"/>
    <mergeCell ref="A18:E18"/>
    <mergeCell ref="A33:E33"/>
    <mergeCell ref="A51:E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19F2-4FFD-4798-AE88-6A255CD35909}">
  <dimension ref="A1:G80"/>
  <sheetViews>
    <sheetView topLeftCell="B52" workbookViewId="0">
      <selection activeCell="B13" sqref="B13:B16"/>
    </sheetView>
  </sheetViews>
  <sheetFormatPr baseColWidth="10" defaultColWidth="11" defaultRowHeight="18" x14ac:dyDescent="0.25"/>
  <cols>
    <col min="1" max="1" width="7.796875" style="17" customWidth="1"/>
    <col min="2" max="2" width="40" style="17" bestFit="1" customWidth="1"/>
    <col min="3" max="3" width="26.19921875" style="17" bestFit="1" customWidth="1"/>
    <col min="4" max="4" width="25.796875" style="17" bestFit="1" customWidth="1"/>
    <col min="5" max="5" width="26.59765625" style="17" bestFit="1" customWidth="1"/>
    <col min="6" max="6" width="11" style="17"/>
    <col min="7" max="7" width="26.59765625" style="17" bestFit="1" customWidth="1"/>
    <col min="8" max="16384" width="11" style="17"/>
  </cols>
  <sheetData>
    <row r="1" spans="1:5" ht="19" thickBot="1" x14ac:dyDescent="0.3"/>
    <row r="2" spans="1:5" x14ac:dyDescent="0.25">
      <c r="A2" s="94" t="s">
        <v>133</v>
      </c>
      <c r="B2" s="95"/>
      <c r="C2" s="95"/>
      <c r="D2" s="95"/>
      <c r="E2" s="96"/>
    </row>
    <row r="3" spans="1:5" x14ac:dyDescent="0.25">
      <c r="A3" s="19" t="s">
        <v>79</v>
      </c>
      <c r="B3" s="27" t="s">
        <v>98</v>
      </c>
      <c r="C3" s="28" t="s">
        <v>95</v>
      </c>
      <c r="D3" s="28" t="s">
        <v>96</v>
      </c>
      <c r="E3" s="20" t="s">
        <v>97</v>
      </c>
    </row>
    <row r="4" spans="1:5" x14ac:dyDescent="0.25">
      <c r="A4" s="52">
        <v>1</v>
      </c>
      <c r="B4" s="53" t="s">
        <v>113</v>
      </c>
      <c r="C4" s="31">
        <v>112277849418.61996</v>
      </c>
      <c r="D4" s="31">
        <v>452564054801.21002</v>
      </c>
      <c r="E4" s="22">
        <f>SUM(C4:D4)</f>
        <v>564841904219.82996</v>
      </c>
    </row>
    <row r="5" spans="1:5" ht="19" x14ac:dyDescent="0.25">
      <c r="A5" s="52">
        <v>2</v>
      </c>
      <c r="B5" s="54" t="s">
        <v>114</v>
      </c>
      <c r="C5" s="31">
        <v>166526649783.27002</v>
      </c>
      <c r="D5" s="31">
        <v>376947327831.026</v>
      </c>
      <c r="E5" s="22">
        <f t="shared" ref="E5:E24" si="0">SUM(C5:D5)</f>
        <v>543473977614.29602</v>
      </c>
    </row>
    <row r="6" spans="1:5" ht="19" x14ac:dyDescent="0.25">
      <c r="A6" s="52">
        <v>3</v>
      </c>
      <c r="B6" s="54" t="s">
        <v>115</v>
      </c>
      <c r="C6" s="31">
        <v>46213476613.809998</v>
      </c>
      <c r="D6" s="31">
        <v>101327575466.22009</v>
      </c>
      <c r="E6" s="22">
        <f t="shared" si="0"/>
        <v>147541052080.03009</v>
      </c>
    </row>
    <row r="7" spans="1:5" ht="19" x14ac:dyDescent="0.25">
      <c r="A7" s="52">
        <v>4</v>
      </c>
      <c r="B7" s="54" t="s">
        <v>116</v>
      </c>
      <c r="C7" s="31">
        <v>589328493108.93005</v>
      </c>
      <c r="D7" s="31">
        <v>865001316794.52002</v>
      </c>
      <c r="E7" s="22">
        <f t="shared" si="0"/>
        <v>1454329809903.4502</v>
      </c>
    </row>
    <row r="8" spans="1:5" ht="19" x14ac:dyDescent="0.25">
      <c r="A8" s="52">
        <v>5</v>
      </c>
      <c r="B8" s="54" t="s">
        <v>93</v>
      </c>
      <c r="C8" s="31">
        <v>1150929717632.3801</v>
      </c>
      <c r="D8" s="31">
        <v>1193891322148.6326</v>
      </c>
      <c r="E8" s="22">
        <f t="shared" si="0"/>
        <v>2344821039781.0127</v>
      </c>
    </row>
    <row r="9" spans="1:5" ht="19" x14ac:dyDescent="0.25">
      <c r="A9" s="52">
        <v>6</v>
      </c>
      <c r="B9" s="54" t="s">
        <v>117</v>
      </c>
      <c r="C9" s="31">
        <v>71424968899.889999</v>
      </c>
      <c r="D9" s="31">
        <v>577639600426.29248</v>
      </c>
      <c r="E9" s="22">
        <f t="shared" si="0"/>
        <v>649064569326.1825</v>
      </c>
    </row>
    <row r="10" spans="1:5" ht="19" x14ac:dyDescent="0.25">
      <c r="A10" s="52">
        <v>7</v>
      </c>
      <c r="B10" s="54" t="s">
        <v>118</v>
      </c>
      <c r="C10" s="31">
        <v>31133483349.570007</v>
      </c>
      <c r="D10" s="31">
        <v>76757500488.220001</v>
      </c>
      <c r="E10" s="22">
        <f t="shared" si="0"/>
        <v>107890983837.79001</v>
      </c>
    </row>
    <row r="11" spans="1:5" ht="19" x14ac:dyDescent="0.25">
      <c r="A11" s="52">
        <v>8</v>
      </c>
      <c r="B11" s="54" t="s">
        <v>119</v>
      </c>
      <c r="C11" s="31">
        <v>61734533356.929993</v>
      </c>
      <c r="D11" s="31">
        <v>147267379156.2132</v>
      </c>
      <c r="E11" s="22">
        <f t="shared" si="0"/>
        <v>209001912513.14319</v>
      </c>
    </row>
    <row r="12" spans="1:5" ht="19" x14ac:dyDescent="0.25">
      <c r="A12" s="52">
        <v>9</v>
      </c>
      <c r="B12" s="54" t="s">
        <v>120</v>
      </c>
      <c r="C12" s="31">
        <v>77161333637.97998</v>
      </c>
      <c r="D12" s="31">
        <v>195802051708.71231</v>
      </c>
      <c r="E12" s="22">
        <f t="shared" si="0"/>
        <v>272963385346.69229</v>
      </c>
    </row>
    <row r="13" spans="1:5" ht="38" x14ac:dyDescent="0.25">
      <c r="A13" s="52">
        <v>10</v>
      </c>
      <c r="B13" s="92" t="s">
        <v>121</v>
      </c>
      <c r="C13" s="31">
        <v>102259595900.68001</v>
      </c>
      <c r="D13" s="31">
        <v>334357405532.64008</v>
      </c>
      <c r="E13" s="22">
        <f t="shared" si="0"/>
        <v>436617001433.32007</v>
      </c>
    </row>
    <row r="14" spans="1:5" ht="38" x14ac:dyDescent="0.25">
      <c r="A14" s="52">
        <v>11</v>
      </c>
      <c r="B14" s="92" t="s">
        <v>122</v>
      </c>
      <c r="C14" s="31">
        <v>53803312282.519997</v>
      </c>
      <c r="D14" s="31">
        <v>115127539120.49001</v>
      </c>
      <c r="E14" s="22">
        <f t="shared" si="0"/>
        <v>168930851403.01001</v>
      </c>
    </row>
    <row r="15" spans="1:5" ht="19" x14ac:dyDescent="0.25">
      <c r="A15" s="52">
        <v>12</v>
      </c>
      <c r="B15" s="92" t="s">
        <v>123</v>
      </c>
      <c r="C15" s="31">
        <v>39750790862.920006</v>
      </c>
      <c r="D15" s="31">
        <v>120529714947.14</v>
      </c>
      <c r="E15" s="22">
        <f t="shared" si="0"/>
        <v>160280505810.06</v>
      </c>
    </row>
    <row r="16" spans="1:5" ht="38" x14ac:dyDescent="0.25">
      <c r="A16" s="52">
        <v>13</v>
      </c>
      <c r="B16" s="92" t="s">
        <v>124</v>
      </c>
      <c r="C16" s="31">
        <v>3563268577825.2104</v>
      </c>
      <c r="D16" s="31">
        <v>2376288260444.6001</v>
      </c>
      <c r="E16" s="22">
        <f t="shared" si="0"/>
        <v>5939556838269.8105</v>
      </c>
    </row>
    <row r="17" spans="1:7" ht="19" x14ac:dyDescent="0.25">
      <c r="A17" s="52">
        <v>14</v>
      </c>
      <c r="B17" s="54" t="s">
        <v>125</v>
      </c>
      <c r="C17" s="31">
        <v>51696101200.099991</v>
      </c>
      <c r="D17" s="31">
        <v>201193914806.76001</v>
      </c>
      <c r="E17" s="22">
        <f t="shared" si="0"/>
        <v>252890016006.85999</v>
      </c>
    </row>
    <row r="18" spans="1:7" ht="19" x14ac:dyDescent="0.25">
      <c r="A18" s="52">
        <v>15</v>
      </c>
      <c r="B18" s="54" t="s">
        <v>126</v>
      </c>
      <c r="C18" s="31">
        <v>2521507953.6300001</v>
      </c>
      <c r="D18" s="31">
        <v>6980355000</v>
      </c>
      <c r="E18" s="22">
        <f t="shared" si="0"/>
        <v>9501862953.6300011</v>
      </c>
    </row>
    <row r="19" spans="1:7" ht="19" x14ac:dyDescent="0.25">
      <c r="A19" s="52">
        <v>16</v>
      </c>
      <c r="B19" s="54" t="s">
        <v>127</v>
      </c>
      <c r="C19" s="31">
        <v>8738195463.2799988</v>
      </c>
      <c r="D19" s="31">
        <v>57084476686.309998</v>
      </c>
      <c r="E19" s="22">
        <f t="shared" si="0"/>
        <v>65822672149.589996</v>
      </c>
    </row>
    <row r="20" spans="1:7" ht="19" x14ac:dyDescent="0.25">
      <c r="A20" s="52">
        <v>17</v>
      </c>
      <c r="B20" s="54" t="s">
        <v>128</v>
      </c>
      <c r="C20" s="31">
        <v>74566454358.590027</v>
      </c>
      <c r="D20" s="31">
        <v>2551226575734.0142</v>
      </c>
      <c r="E20" s="22">
        <f t="shared" si="0"/>
        <v>2625793030092.604</v>
      </c>
    </row>
    <row r="21" spans="1:7" ht="19" x14ac:dyDescent="0.25">
      <c r="A21" s="52">
        <v>18</v>
      </c>
      <c r="B21" s="54" t="s">
        <v>129</v>
      </c>
      <c r="C21" s="31">
        <v>2946575459.0699997</v>
      </c>
      <c r="D21" s="31">
        <v>22393811648.119999</v>
      </c>
      <c r="E21" s="22">
        <f t="shared" si="0"/>
        <v>25340387107.189999</v>
      </c>
      <c r="G21" s="16"/>
    </row>
    <row r="22" spans="1:7" ht="19" x14ac:dyDescent="0.25">
      <c r="A22" s="52">
        <v>19</v>
      </c>
      <c r="B22" s="54" t="s">
        <v>130</v>
      </c>
      <c r="C22" s="55">
        <v>52780000</v>
      </c>
      <c r="D22" s="55">
        <v>40103031545.5</v>
      </c>
      <c r="E22" s="22">
        <f t="shared" si="0"/>
        <v>40155811545.5</v>
      </c>
    </row>
    <row r="23" spans="1:7" ht="19" x14ac:dyDescent="0.25">
      <c r="A23" s="52">
        <v>20</v>
      </c>
      <c r="B23" s="54" t="s">
        <v>132</v>
      </c>
      <c r="C23" s="55">
        <v>1939060816.7600002</v>
      </c>
      <c r="D23" s="55">
        <v>98171412260.630005</v>
      </c>
      <c r="E23" s="22">
        <f t="shared" si="0"/>
        <v>100110473077.39</v>
      </c>
    </row>
    <row r="24" spans="1:7" ht="19" x14ac:dyDescent="0.25">
      <c r="A24" s="52">
        <v>21</v>
      </c>
      <c r="B24" s="54" t="s">
        <v>131</v>
      </c>
      <c r="C24" s="55">
        <v>4201705209.6800003</v>
      </c>
      <c r="D24" s="55">
        <v>29601002947.400002</v>
      </c>
      <c r="E24" s="22">
        <f t="shared" si="0"/>
        <v>33802708157.080002</v>
      </c>
    </row>
    <row r="25" spans="1:7" ht="19" x14ac:dyDescent="0.25">
      <c r="A25" s="52">
        <v>22</v>
      </c>
      <c r="B25" s="54" t="s">
        <v>139</v>
      </c>
      <c r="C25" s="18"/>
      <c r="D25" s="18"/>
      <c r="E25" s="18"/>
    </row>
    <row r="26" spans="1:7" ht="19" thickBot="1" x14ac:dyDescent="0.3">
      <c r="A26" s="52"/>
      <c r="B26" s="54"/>
      <c r="C26" s="55">
        <f>SUM(C4:C24)</f>
        <v>6212475163133.8203</v>
      </c>
      <c r="D26" s="55">
        <f>SUM(D4:D24)</f>
        <v>9940255629494.6504</v>
      </c>
      <c r="E26" s="30">
        <f>SUM(C26:D26)</f>
        <v>16152730792628.471</v>
      </c>
    </row>
    <row r="28" spans="1:7" ht="19" thickBot="1" x14ac:dyDescent="0.3"/>
    <row r="29" spans="1:7" x14ac:dyDescent="0.25">
      <c r="A29" s="94" t="s">
        <v>138</v>
      </c>
      <c r="B29" s="95"/>
      <c r="C29" s="95"/>
      <c r="D29" s="95"/>
      <c r="E29" s="96"/>
    </row>
    <row r="30" spans="1:7" x14ac:dyDescent="0.25">
      <c r="A30" s="19" t="s">
        <v>79</v>
      </c>
      <c r="B30" s="27" t="s">
        <v>98</v>
      </c>
      <c r="C30" s="28" t="s">
        <v>95</v>
      </c>
      <c r="D30" s="28" t="s">
        <v>96</v>
      </c>
      <c r="E30" s="20" t="s">
        <v>97</v>
      </c>
    </row>
    <row r="31" spans="1:7" x14ac:dyDescent="0.25">
      <c r="A31" s="52">
        <v>1</v>
      </c>
      <c r="B31" s="53" t="s">
        <v>113</v>
      </c>
      <c r="C31" s="31">
        <v>132014071198.76994</v>
      </c>
      <c r="D31" s="31">
        <v>1509320113844.8699</v>
      </c>
      <c r="E31" s="22">
        <f>SUM(C31:D31)</f>
        <v>1641334185043.6399</v>
      </c>
    </row>
    <row r="32" spans="1:7" ht="19" x14ac:dyDescent="0.25">
      <c r="A32" s="52">
        <v>2</v>
      </c>
      <c r="B32" s="54" t="s">
        <v>114</v>
      </c>
      <c r="C32" s="31">
        <v>234700376542.45996</v>
      </c>
      <c r="D32" s="31">
        <v>255332223969</v>
      </c>
      <c r="E32" s="22">
        <f t="shared" ref="E32:E51" si="1">SUM(C32:D32)</f>
        <v>490032600511.45996</v>
      </c>
    </row>
    <row r="33" spans="1:5" ht="19" x14ac:dyDescent="0.25">
      <c r="A33" s="52">
        <v>3</v>
      </c>
      <c r="B33" s="54" t="s">
        <v>115</v>
      </c>
      <c r="C33" s="31">
        <v>245759859228.23999</v>
      </c>
      <c r="D33" s="31">
        <v>232083155461.98999</v>
      </c>
      <c r="E33" s="22">
        <f t="shared" si="1"/>
        <v>477843014690.22998</v>
      </c>
    </row>
    <row r="34" spans="1:5" ht="19" x14ac:dyDescent="0.25">
      <c r="A34" s="52">
        <v>4</v>
      </c>
      <c r="B34" s="54" t="s">
        <v>116</v>
      </c>
      <c r="C34" s="31">
        <v>962022944928.54993</v>
      </c>
      <c r="D34" s="31">
        <v>1515608096918.1199</v>
      </c>
      <c r="E34" s="22">
        <f t="shared" si="1"/>
        <v>2477631041846.6699</v>
      </c>
    </row>
    <row r="35" spans="1:5" ht="19" x14ac:dyDescent="0.25">
      <c r="A35" s="52">
        <v>5</v>
      </c>
      <c r="B35" s="54" t="s">
        <v>93</v>
      </c>
      <c r="C35" s="31">
        <v>1579969118187.6494</v>
      </c>
      <c r="D35" s="31">
        <v>2273464281647.9102</v>
      </c>
      <c r="E35" s="22">
        <f t="shared" si="1"/>
        <v>3853433399835.5596</v>
      </c>
    </row>
    <row r="36" spans="1:5" ht="19" x14ac:dyDescent="0.25">
      <c r="A36" s="52">
        <v>6</v>
      </c>
      <c r="B36" s="54" t="s">
        <v>117</v>
      </c>
      <c r="C36" s="31">
        <v>116466307883.57001</v>
      </c>
      <c r="D36" s="31">
        <v>1274926404380.1201</v>
      </c>
      <c r="E36" s="22">
        <f t="shared" si="1"/>
        <v>1391392712263.6902</v>
      </c>
    </row>
    <row r="37" spans="1:5" ht="19" x14ac:dyDescent="0.25">
      <c r="A37" s="52">
        <v>7</v>
      </c>
      <c r="B37" s="54" t="s">
        <v>118</v>
      </c>
      <c r="C37" s="31">
        <v>34910696235.059998</v>
      </c>
      <c r="D37" s="31">
        <v>109340602030.70001</v>
      </c>
      <c r="E37" s="22">
        <f t="shared" si="1"/>
        <v>144251298265.76001</v>
      </c>
    </row>
    <row r="38" spans="1:5" ht="19" x14ac:dyDescent="0.25">
      <c r="A38" s="52">
        <v>8</v>
      </c>
      <c r="B38" s="54" t="s">
        <v>119</v>
      </c>
      <c r="C38" s="31">
        <v>85346704257.050003</v>
      </c>
      <c r="D38" s="31">
        <v>166765452188.31998</v>
      </c>
      <c r="E38" s="22">
        <f t="shared" si="1"/>
        <v>252112156445.37</v>
      </c>
    </row>
    <row r="39" spans="1:5" ht="19" x14ac:dyDescent="0.25">
      <c r="A39" s="52">
        <v>9</v>
      </c>
      <c r="B39" s="54" t="s">
        <v>120</v>
      </c>
      <c r="C39" s="31">
        <v>126680911842.05002</v>
      </c>
      <c r="D39" s="31">
        <v>335560013869.69</v>
      </c>
      <c r="E39" s="22">
        <f t="shared" si="1"/>
        <v>462240925711.73999</v>
      </c>
    </row>
    <row r="40" spans="1:5" ht="38" x14ac:dyDescent="0.25">
      <c r="A40" s="52">
        <v>10</v>
      </c>
      <c r="B40" s="92" t="s">
        <v>121</v>
      </c>
      <c r="C40" s="31">
        <v>129073784324.84998</v>
      </c>
      <c r="D40" s="31">
        <v>614827013461.12</v>
      </c>
      <c r="E40" s="22">
        <f t="shared" si="1"/>
        <v>743900797785.96997</v>
      </c>
    </row>
    <row r="41" spans="1:5" ht="38" x14ac:dyDescent="0.25">
      <c r="A41" s="52">
        <v>11</v>
      </c>
      <c r="B41" s="92" t="s">
        <v>122</v>
      </c>
      <c r="C41" s="31">
        <v>79699656468.849991</v>
      </c>
      <c r="D41" s="31">
        <v>195990232222.51999</v>
      </c>
      <c r="E41" s="22">
        <f t="shared" si="1"/>
        <v>275689888691.37</v>
      </c>
    </row>
    <row r="42" spans="1:5" ht="19" x14ac:dyDescent="0.25">
      <c r="A42" s="52">
        <v>12</v>
      </c>
      <c r="B42" s="92" t="s">
        <v>123</v>
      </c>
      <c r="C42" s="31">
        <v>53591944621.099998</v>
      </c>
      <c r="D42" s="31">
        <v>236038693189.52002</v>
      </c>
      <c r="E42" s="22">
        <f t="shared" si="1"/>
        <v>289630637810.62</v>
      </c>
    </row>
    <row r="43" spans="1:5" ht="38" x14ac:dyDescent="0.25">
      <c r="A43" s="52">
        <v>13</v>
      </c>
      <c r="B43" s="92" t="s">
        <v>124</v>
      </c>
      <c r="C43" s="31">
        <v>4729502680900.6396</v>
      </c>
      <c r="D43" s="31">
        <v>3504078061370.1807</v>
      </c>
      <c r="E43" s="22">
        <f t="shared" si="1"/>
        <v>8233580742270.8203</v>
      </c>
    </row>
    <row r="44" spans="1:5" ht="19" x14ac:dyDescent="0.25">
      <c r="A44" s="52">
        <v>14</v>
      </c>
      <c r="B44" s="54" t="s">
        <v>125</v>
      </c>
      <c r="C44" s="31">
        <v>75951559065.300018</v>
      </c>
      <c r="D44" s="31">
        <v>527744382262.13995</v>
      </c>
      <c r="E44" s="22">
        <f t="shared" si="1"/>
        <v>603695941327.43994</v>
      </c>
    </row>
    <row r="45" spans="1:5" ht="19" x14ac:dyDescent="0.25">
      <c r="A45" s="52">
        <v>15</v>
      </c>
      <c r="B45" s="54" t="s">
        <v>126</v>
      </c>
      <c r="C45" s="31">
        <v>4123614495.0300002</v>
      </c>
      <c r="D45" s="31">
        <v>90982877597</v>
      </c>
      <c r="E45" s="22">
        <f t="shared" si="1"/>
        <v>95106492092.029999</v>
      </c>
    </row>
    <row r="46" spans="1:5" ht="19" x14ac:dyDescent="0.25">
      <c r="A46" s="52">
        <v>16</v>
      </c>
      <c r="B46" s="54" t="s">
        <v>127</v>
      </c>
      <c r="C46" s="31">
        <v>14723748162.880003</v>
      </c>
      <c r="D46" s="31">
        <v>88280424460.309998</v>
      </c>
      <c r="E46" s="22">
        <f t="shared" si="1"/>
        <v>103004172623.19</v>
      </c>
    </row>
    <row r="47" spans="1:5" ht="19" x14ac:dyDescent="0.25">
      <c r="A47" s="52">
        <v>17</v>
      </c>
      <c r="B47" s="54" t="s">
        <v>128</v>
      </c>
      <c r="C47" s="31">
        <v>96732238914.879944</v>
      </c>
      <c r="D47" s="31">
        <v>4474788507931.1797</v>
      </c>
      <c r="E47" s="22">
        <f t="shared" si="1"/>
        <v>4571520746846.0596</v>
      </c>
    </row>
    <row r="48" spans="1:5" ht="19" x14ac:dyDescent="0.25">
      <c r="A48" s="52">
        <v>18</v>
      </c>
      <c r="B48" s="54" t="s">
        <v>129</v>
      </c>
      <c r="C48" s="31">
        <v>26385168808.84</v>
      </c>
      <c r="D48" s="31">
        <v>90279785895.869995</v>
      </c>
      <c r="E48" s="22">
        <f t="shared" si="1"/>
        <v>116664954704.70999</v>
      </c>
    </row>
    <row r="49" spans="1:5" ht="19" x14ac:dyDescent="0.25">
      <c r="A49" s="52">
        <v>19</v>
      </c>
      <c r="B49" s="54" t="s">
        <v>130</v>
      </c>
      <c r="C49" s="55">
        <v>28875242.75999999</v>
      </c>
      <c r="D49" s="55">
        <v>40236638447.040001</v>
      </c>
      <c r="E49" s="22">
        <f t="shared" si="1"/>
        <v>40265513689.800003</v>
      </c>
    </row>
    <row r="50" spans="1:5" ht="19" x14ac:dyDescent="0.25">
      <c r="A50" s="52">
        <v>20</v>
      </c>
      <c r="B50" s="54" t="s">
        <v>132</v>
      </c>
      <c r="C50" s="55">
        <v>13869139851.6</v>
      </c>
      <c r="D50" s="55">
        <v>278809986267.33002</v>
      </c>
      <c r="E50" s="22">
        <f t="shared" si="1"/>
        <v>292679126118.92999</v>
      </c>
    </row>
    <row r="51" spans="1:5" ht="19" x14ac:dyDescent="0.25">
      <c r="A51" s="52">
        <v>21</v>
      </c>
      <c r="B51" s="54" t="s">
        <v>131</v>
      </c>
      <c r="C51" s="55">
        <v>4368711127.079998</v>
      </c>
      <c r="D51" s="55">
        <v>55836244423.809998</v>
      </c>
      <c r="E51" s="22">
        <f t="shared" si="1"/>
        <v>60204955550.889999</v>
      </c>
    </row>
    <row r="52" spans="1:5" ht="19" x14ac:dyDescent="0.25">
      <c r="A52" s="52">
        <v>22</v>
      </c>
      <c r="B52" s="54" t="s">
        <v>139</v>
      </c>
      <c r="C52" s="55">
        <v>345750000.00000006</v>
      </c>
      <c r="D52" s="55">
        <v>233103871.44999999</v>
      </c>
      <c r="E52" s="64">
        <f>SUM(C52:D52)</f>
        <v>578853871.45000005</v>
      </c>
    </row>
    <row r="53" spans="1:5" ht="19" thickBot="1" x14ac:dyDescent="0.3">
      <c r="A53" s="97" t="s">
        <v>108</v>
      </c>
      <c r="B53" s="98"/>
      <c r="C53" s="65">
        <f>SUM(C31:C52)</f>
        <v>8746267862287.208</v>
      </c>
      <c r="D53" s="65">
        <f>SUM(D31:D52)</f>
        <v>17870526295710.188</v>
      </c>
      <c r="E53" s="62">
        <f>SUM(C53:D53)</f>
        <v>26616794157997.395</v>
      </c>
    </row>
    <row r="55" spans="1:5" ht="19" thickBot="1" x14ac:dyDescent="0.3"/>
    <row r="56" spans="1:5" x14ac:dyDescent="0.25">
      <c r="A56" s="94" t="s">
        <v>149</v>
      </c>
      <c r="B56" s="95"/>
      <c r="C56" s="95"/>
      <c r="D56" s="95"/>
      <c r="E56" s="96"/>
    </row>
    <row r="57" spans="1:5" x14ac:dyDescent="0.25">
      <c r="A57" s="19" t="s">
        <v>79</v>
      </c>
      <c r="B57" s="27" t="s">
        <v>98</v>
      </c>
      <c r="C57" s="28" t="s">
        <v>95</v>
      </c>
      <c r="D57" s="28" t="s">
        <v>96</v>
      </c>
      <c r="E57" s="20" t="s">
        <v>97</v>
      </c>
    </row>
    <row r="58" spans="1:5" x14ac:dyDescent="0.25">
      <c r="A58" s="52">
        <v>1</v>
      </c>
      <c r="B58" s="53" t="s">
        <v>113</v>
      </c>
      <c r="C58" s="31">
        <v>173726604841.4339</v>
      </c>
      <c r="D58" s="55">
        <v>1253737625266.2947</v>
      </c>
      <c r="E58" s="22">
        <f t="shared" ref="E58:E74" si="2">SUM(C58:D58)</f>
        <v>1427464230107.7285</v>
      </c>
    </row>
    <row r="59" spans="1:5" ht="19" x14ac:dyDescent="0.25">
      <c r="A59" s="52">
        <v>2</v>
      </c>
      <c r="B59" s="54" t="s">
        <v>114</v>
      </c>
      <c r="C59" s="31">
        <v>287356030503.86096</v>
      </c>
      <c r="D59" s="55">
        <v>289360362590.27429</v>
      </c>
      <c r="E59" s="22">
        <f t="shared" si="2"/>
        <v>576716393094.13525</v>
      </c>
    </row>
    <row r="60" spans="1:5" ht="19" x14ac:dyDescent="0.25">
      <c r="A60" s="52">
        <v>3</v>
      </c>
      <c r="B60" s="54" t="s">
        <v>115</v>
      </c>
      <c r="C60" s="31">
        <v>69074941846.366333</v>
      </c>
      <c r="D60" s="55">
        <v>263319274725.14999</v>
      </c>
      <c r="E60" s="22">
        <f t="shared" si="2"/>
        <v>332394216571.51636</v>
      </c>
    </row>
    <row r="61" spans="1:5" ht="19" x14ac:dyDescent="0.25">
      <c r="A61" s="52">
        <v>4</v>
      </c>
      <c r="B61" s="54" t="s">
        <v>116</v>
      </c>
      <c r="C61" s="31">
        <v>1203786701496.5625</v>
      </c>
      <c r="D61" s="55">
        <v>2157738848458.7305</v>
      </c>
      <c r="E61" s="22">
        <f t="shared" si="2"/>
        <v>3361525549955.293</v>
      </c>
    </row>
    <row r="62" spans="1:5" ht="19" x14ac:dyDescent="0.25">
      <c r="A62" s="52">
        <v>5</v>
      </c>
      <c r="B62" s="54" t="s">
        <v>93</v>
      </c>
      <c r="C62" s="31">
        <v>2020063127374.6619</v>
      </c>
      <c r="D62" s="55">
        <v>3278923699150.5562</v>
      </c>
      <c r="E62" s="22">
        <f t="shared" si="2"/>
        <v>5298986826525.2178</v>
      </c>
    </row>
    <row r="63" spans="1:5" ht="19" x14ac:dyDescent="0.25">
      <c r="A63" s="52">
        <v>6</v>
      </c>
      <c r="B63" s="54" t="s">
        <v>117</v>
      </c>
      <c r="C63" s="31">
        <v>201985572601.32196</v>
      </c>
      <c r="D63" s="55">
        <v>2238196789167.4062</v>
      </c>
      <c r="E63" s="22">
        <f t="shared" si="2"/>
        <v>2440182361768.728</v>
      </c>
    </row>
    <row r="64" spans="1:5" ht="19" x14ac:dyDescent="0.25">
      <c r="A64" s="52">
        <v>7</v>
      </c>
      <c r="B64" s="54" t="s">
        <v>118</v>
      </c>
      <c r="C64" s="31">
        <v>36301908284.765007</v>
      </c>
      <c r="D64" s="55">
        <v>164665424435.53</v>
      </c>
      <c r="E64" s="22">
        <f t="shared" si="2"/>
        <v>200967332720.29501</v>
      </c>
    </row>
    <row r="65" spans="1:7" ht="19" x14ac:dyDescent="0.25">
      <c r="A65" s="52">
        <v>8</v>
      </c>
      <c r="B65" s="54" t="s">
        <v>119</v>
      </c>
      <c r="C65" s="31">
        <v>158642764921.80032</v>
      </c>
      <c r="D65" s="55">
        <v>321673009595.33032</v>
      </c>
      <c r="E65" s="22">
        <f t="shared" si="2"/>
        <v>480315774517.13062</v>
      </c>
    </row>
    <row r="66" spans="1:7" ht="19" x14ac:dyDescent="0.25">
      <c r="A66" s="52">
        <v>9</v>
      </c>
      <c r="B66" s="54" t="s">
        <v>120</v>
      </c>
      <c r="C66" s="31">
        <v>149469534244.72678</v>
      </c>
      <c r="D66" s="55">
        <v>459191262257.45374</v>
      </c>
      <c r="E66" s="22">
        <f t="shared" si="2"/>
        <v>608660796502.18054</v>
      </c>
    </row>
    <row r="67" spans="1:7" ht="38" x14ac:dyDescent="0.25">
      <c r="A67" s="52">
        <v>10</v>
      </c>
      <c r="B67" s="92" t="s">
        <v>121</v>
      </c>
      <c r="C67" s="31">
        <v>110253917933.44695</v>
      </c>
      <c r="D67" s="55">
        <v>753129018106.89014</v>
      </c>
      <c r="E67" s="22">
        <f t="shared" si="2"/>
        <v>863382936040.33704</v>
      </c>
    </row>
    <row r="68" spans="1:7" ht="38" x14ac:dyDescent="0.25">
      <c r="A68" s="52">
        <v>11</v>
      </c>
      <c r="B68" s="92" t="s">
        <v>122</v>
      </c>
      <c r="C68" s="31">
        <v>108309963355.03192</v>
      </c>
      <c r="D68" s="55">
        <v>223465661919.82837</v>
      </c>
      <c r="E68" s="22">
        <f t="shared" si="2"/>
        <v>331775625274.86029</v>
      </c>
    </row>
    <row r="69" spans="1:7" ht="19" x14ac:dyDescent="0.25">
      <c r="A69" s="52">
        <v>12</v>
      </c>
      <c r="B69" s="54" t="s">
        <v>123</v>
      </c>
      <c r="C69" s="31">
        <v>93910158167.440613</v>
      </c>
      <c r="D69" s="55">
        <v>497396077974.49152</v>
      </c>
      <c r="E69" s="22">
        <f t="shared" si="2"/>
        <v>591306236141.93213</v>
      </c>
    </row>
    <row r="70" spans="1:7" ht="38" x14ac:dyDescent="0.25">
      <c r="A70" s="93">
        <v>13</v>
      </c>
      <c r="B70" s="92" t="s">
        <v>124</v>
      </c>
      <c r="C70" s="31">
        <v>6190103430253.7266</v>
      </c>
      <c r="D70" s="55">
        <v>3832608145873.4673</v>
      </c>
      <c r="E70" s="22">
        <f t="shared" si="2"/>
        <v>10022711576127.193</v>
      </c>
    </row>
    <row r="71" spans="1:7" ht="19" x14ac:dyDescent="0.25">
      <c r="A71" s="52">
        <v>14</v>
      </c>
      <c r="B71" s="54" t="s">
        <v>125</v>
      </c>
      <c r="C71" s="31">
        <v>77629550115.75528</v>
      </c>
      <c r="D71" s="55">
        <v>804209977706.08533</v>
      </c>
      <c r="E71" s="22">
        <f t="shared" si="2"/>
        <v>881839527821.84058</v>
      </c>
    </row>
    <row r="72" spans="1:7" ht="19" x14ac:dyDescent="0.25">
      <c r="A72" s="52">
        <v>15</v>
      </c>
      <c r="B72" s="54" t="s">
        <v>126</v>
      </c>
      <c r="C72" s="31">
        <v>6672290381.8400002</v>
      </c>
      <c r="D72" s="55">
        <v>103295818395.70778</v>
      </c>
      <c r="E72" s="22">
        <f t="shared" si="2"/>
        <v>109968108777.54778</v>
      </c>
    </row>
    <row r="73" spans="1:7" ht="19" x14ac:dyDescent="0.25">
      <c r="A73" s="52">
        <v>16</v>
      </c>
      <c r="B73" s="54" t="s">
        <v>127</v>
      </c>
      <c r="C73" s="31">
        <v>19351675347.420002</v>
      </c>
      <c r="D73" s="55">
        <v>249427604204.44998</v>
      </c>
      <c r="E73" s="22">
        <f t="shared" si="2"/>
        <v>268779279551.87</v>
      </c>
    </row>
    <row r="74" spans="1:7" ht="19" x14ac:dyDescent="0.25">
      <c r="A74" s="52">
        <v>17</v>
      </c>
      <c r="B74" s="54" t="s">
        <v>128</v>
      </c>
      <c r="C74" s="31">
        <v>151536077418.93008</v>
      </c>
      <c r="D74" s="55">
        <v>6347611464901.5449</v>
      </c>
      <c r="E74" s="22">
        <f t="shared" si="2"/>
        <v>6499147542320.4746</v>
      </c>
    </row>
    <row r="75" spans="1:7" ht="19" x14ac:dyDescent="0.25">
      <c r="A75" s="52">
        <v>18</v>
      </c>
      <c r="B75" s="54" t="s">
        <v>129</v>
      </c>
      <c r="C75" s="31">
        <v>8527115601.0900126</v>
      </c>
      <c r="D75" s="31">
        <v>347541657100.40002</v>
      </c>
      <c r="E75" s="22">
        <f t="shared" ref="E75:E78" si="3">SUM(C75:D75)</f>
        <v>356068772701.49005</v>
      </c>
      <c r="G75" s="91"/>
    </row>
    <row r="76" spans="1:7" ht="19" x14ac:dyDescent="0.25">
      <c r="A76" s="52">
        <v>19</v>
      </c>
      <c r="B76" s="54" t="s">
        <v>130</v>
      </c>
      <c r="C76" s="55">
        <v>598700000</v>
      </c>
      <c r="D76" s="55">
        <v>38906456835.669998</v>
      </c>
      <c r="E76" s="22">
        <f t="shared" si="3"/>
        <v>39505156835.669998</v>
      </c>
      <c r="G76" s="91"/>
    </row>
    <row r="77" spans="1:7" ht="19" x14ac:dyDescent="0.25">
      <c r="A77" s="52">
        <v>20</v>
      </c>
      <c r="B77" s="54" t="s">
        <v>132</v>
      </c>
      <c r="C77" s="55">
        <v>21753585178.735786</v>
      </c>
      <c r="D77" s="55">
        <v>194142960274.60687</v>
      </c>
      <c r="E77" s="22">
        <f t="shared" si="3"/>
        <v>215896545453.34265</v>
      </c>
      <c r="G77" s="91"/>
    </row>
    <row r="78" spans="1:7" ht="19" x14ac:dyDescent="0.25">
      <c r="A78" s="52">
        <v>21</v>
      </c>
      <c r="B78" s="54" t="s">
        <v>131</v>
      </c>
      <c r="C78" s="55">
        <v>11286734127.864958</v>
      </c>
      <c r="D78" s="55">
        <v>75715857466.419998</v>
      </c>
      <c r="E78" s="22">
        <f t="shared" si="3"/>
        <v>87002591594.284958</v>
      </c>
      <c r="G78" s="91"/>
    </row>
    <row r="79" spans="1:7" ht="19" x14ac:dyDescent="0.25">
      <c r="A79" s="52">
        <v>22</v>
      </c>
      <c r="B79" s="54" t="s">
        <v>139</v>
      </c>
      <c r="C79" s="55">
        <v>687890356763.78174</v>
      </c>
      <c r="D79" s="55">
        <v>306274488935.3089</v>
      </c>
      <c r="E79" s="64">
        <f>SUM(C79:D79)</f>
        <v>994164845699.09058</v>
      </c>
      <c r="G79" s="91"/>
    </row>
    <row r="80" spans="1:7" ht="19" thickBot="1" x14ac:dyDescent="0.3">
      <c r="A80" s="97" t="s">
        <v>108</v>
      </c>
      <c r="B80" s="98"/>
      <c r="C80" s="65">
        <f>SUM(C58:C79)</f>
        <v>11788230740760.562</v>
      </c>
      <c r="D80" s="65">
        <f>SUM(D58:D79)</f>
        <v>24200531485341.594</v>
      </c>
      <c r="E80" s="62">
        <f>SUM(C80:D80)</f>
        <v>35988762226102.156</v>
      </c>
    </row>
  </sheetData>
  <mergeCells count="5">
    <mergeCell ref="A2:E2"/>
    <mergeCell ref="A29:E29"/>
    <mergeCell ref="A53:B53"/>
    <mergeCell ref="A56:E56"/>
    <mergeCell ref="A80:B8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12B2-8E92-46B3-AB03-C3F302B9E897}">
  <sheetPr>
    <tabColor theme="4"/>
  </sheetPr>
  <dimension ref="A1:C38"/>
  <sheetViews>
    <sheetView tabSelected="1" workbookViewId="0">
      <selection activeCell="T36" sqref="T36"/>
    </sheetView>
  </sheetViews>
  <sheetFormatPr baseColWidth="10" defaultColWidth="9" defaultRowHeight="14" x14ac:dyDescent="0.2"/>
  <cols>
    <col min="1" max="1" width="22" customWidth="1"/>
    <col min="2" max="2" width="25.3984375" customWidth="1"/>
    <col min="3" max="3" width="21" customWidth="1"/>
  </cols>
  <sheetData>
    <row r="1" spans="1:3" ht="18" x14ac:dyDescent="0.2">
      <c r="A1" s="66" t="s">
        <v>1</v>
      </c>
      <c r="B1" s="67" t="s">
        <v>140</v>
      </c>
      <c r="C1" s="67" t="s">
        <v>144</v>
      </c>
    </row>
    <row r="2" spans="1:3" ht="18" x14ac:dyDescent="0.25">
      <c r="A2" s="36" t="s">
        <v>2</v>
      </c>
      <c r="B2" s="31">
        <v>4373980.8</v>
      </c>
      <c r="C2" s="31">
        <v>4488922.04</v>
      </c>
    </row>
    <row r="3" spans="1:3" ht="18" x14ac:dyDescent="0.25">
      <c r="A3" s="36" t="s">
        <v>3</v>
      </c>
      <c r="B3" s="31">
        <v>5183925.22</v>
      </c>
      <c r="C3" s="31">
        <v>5323995.91</v>
      </c>
    </row>
    <row r="4" spans="1:3" ht="18" x14ac:dyDescent="0.25">
      <c r="A4" s="36" t="s">
        <v>4</v>
      </c>
      <c r="B4" s="31">
        <v>5133482.57</v>
      </c>
      <c r="C4" s="31">
        <v>5207129.45</v>
      </c>
    </row>
    <row r="5" spans="1:3" ht="18" x14ac:dyDescent="0.25">
      <c r="A5" s="36" t="s">
        <v>5</v>
      </c>
      <c r="B5" s="31">
        <v>6254054.5700000003</v>
      </c>
      <c r="C5" s="31">
        <v>6393781.4900000002</v>
      </c>
    </row>
    <row r="6" spans="1:3" ht="18" x14ac:dyDescent="0.25">
      <c r="A6" s="36" t="s">
        <v>6</v>
      </c>
      <c r="B6" s="31">
        <v>8868047.6799999997</v>
      </c>
      <c r="C6" s="31">
        <v>9160342.5999999996</v>
      </c>
    </row>
    <row r="7" spans="1:3" ht="18" x14ac:dyDescent="0.25">
      <c r="A7" s="36" t="s">
        <v>7</v>
      </c>
      <c r="B7" s="31">
        <v>2667078.71</v>
      </c>
      <c r="C7" s="31">
        <v>2725159.15</v>
      </c>
    </row>
    <row r="8" spans="1:3" ht="18" x14ac:dyDescent="0.25">
      <c r="A8" s="36" t="s">
        <v>8</v>
      </c>
      <c r="B8" s="31">
        <v>6416436.6200000001</v>
      </c>
      <c r="C8" s="31">
        <v>6550152.2999999998</v>
      </c>
    </row>
    <row r="9" spans="1:3" ht="18" x14ac:dyDescent="0.25">
      <c r="A9" s="36" t="s">
        <v>9</v>
      </c>
      <c r="B9" s="31">
        <v>6436142.8700000001</v>
      </c>
      <c r="C9" s="31">
        <v>6582535.7599999998</v>
      </c>
    </row>
    <row r="10" spans="1:3" ht="18" x14ac:dyDescent="0.25">
      <c r="A10" s="36" t="s">
        <v>10</v>
      </c>
      <c r="B10" s="31">
        <v>4600661.04</v>
      </c>
      <c r="C10" s="31">
        <v>4690861.09</v>
      </c>
    </row>
    <row r="11" spans="1:3" ht="18" x14ac:dyDescent="0.25">
      <c r="A11" s="36" t="s">
        <v>11</v>
      </c>
      <c r="B11" s="31">
        <v>5887050.8700000001</v>
      </c>
      <c r="C11" s="31">
        <v>6010334.4800000004</v>
      </c>
    </row>
    <row r="12" spans="1:3" ht="18" x14ac:dyDescent="0.25">
      <c r="A12" s="36" t="s">
        <v>12</v>
      </c>
      <c r="B12" s="31">
        <v>3416070.87</v>
      </c>
      <c r="C12" s="31">
        <v>3504298.43</v>
      </c>
    </row>
    <row r="13" spans="1:3" ht="18" x14ac:dyDescent="0.25">
      <c r="A13" s="36" t="s">
        <v>13</v>
      </c>
      <c r="B13" s="31">
        <v>5040581.24</v>
      </c>
      <c r="C13" s="31">
        <v>5165205.8099999996</v>
      </c>
    </row>
    <row r="14" spans="1:3" ht="18" x14ac:dyDescent="0.25">
      <c r="A14" s="36" t="s">
        <v>14</v>
      </c>
      <c r="B14" s="31">
        <v>3793623.44</v>
      </c>
      <c r="C14" s="31">
        <v>3889069.52</v>
      </c>
    </row>
    <row r="15" spans="1:3" ht="18" x14ac:dyDescent="0.25">
      <c r="A15" s="36" t="s">
        <v>15</v>
      </c>
      <c r="B15" s="31">
        <v>5065162.42</v>
      </c>
      <c r="C15" s="31">
        <v>5210730.09</v>
      </c>
    </row>
    <row r="16" spans="1:3" ht="18" x14ac:dyDescent="0.25">
      <c r="A16" s="36" t="s">
        <v>16</v>
      </c>
      <c r="B16" s="31">
        <v>4210793.2699999996</v>
      </c>
      <c r="C16" s="31">
        <v>4339222.92</v>
      </c>
    </row>
    <row r="17" spans="1:3" ht="18" x14ac:dyDescent="0.25">
      <c r="A17" s="36" t="s">
        <v>17</v>
      </c>
      <c r="B17" s="31">
        <v>5684486.5499999998</v>
      </c>
      <c r="C17" s="31">
        <v>5793882.2300000004</v>
      </c>
    </row>
    <row r="18" spans="1:3" ht="18" x14ac:dyDescent="0.25">
      <c r="A18" s="36" t="s">
        <v>18</v>
      </c>
      <c r="B18" s="31">
        <v>7980408.1699999999</v>
      </c>
      <c r="C18" s="31">
        <v>8245100.8799999999</v>
      </c>
    </row>
    <row r="19" spans="1:3" ht="18" x14ac:dyDescent="0.25">
      <c r="A19" s="36" t="s">
        <v>19</v>
      </c>
      <c r="B19" s="31">
        <v>9511506.3599999994</v>
      </c>
      <c r="C19" s="31">
        <v>9768542.6099999994</v>
      </c>
    </row>
    <row r="20" spans="1:3" ht="18" x14ac:dyDescent="0.25">
      <c r="A20" s="36" t="s">
        <v>20</v>
      </c>
      <c r="B20" s="31">
        <v>16441383.32</v>
      </c>
      <c r="C20" s="31">
        <v>16917704.039999999</v>
      </c>
    </row>
    <row r="21" spans="1:3" ht="18" x14ac:dyDescent="0.25">
      <c r="A21" s="36" t="s">
        <v>21</v>
      </c>
      <c r="B21" s="31">
        <v>11099158.630000001</v>
      </c>
      <c r="C21" s="31">
        <v>11498678.01</v>
      </c>
    </row>
    <row r="22" spans="1:3" ht="18" x14ac:dyDescent="0.25">
      <c r="A22" s="36" t="s">
        <v>22</v>
      </c>
      <c r="B22" s="31">
        <v>5925537.5599999996</v>
      </c>
      <c r="C22" s="31">
        <v>6129871.0899999999</v>
      </c>
    </row>
    <row r="23" spans="1:3" ht="18" x14ac:dyDescent="0.25">
      <c r="A23" s="36" t="s">
        <v>23</v>
      </c>
      <c r="B23" s="31">
        <v>4663319.71</v>
      </c>
      <c r="C23" s="31">
        <v>4772506.1100000003</v>
      </c>
    </row>
    <row r="24" spans="1:3" ht="18" x14ac:dyDescent="0.25">
      <c r="A24" s="36" t="s">
        <v>24</v>
      </c>
      <c r="B24" s="31">
        <v>3734070.31</v>
      </c>
      <c r="C24" s="31">
        <v>3836946.83</v>
      </c>
    </row>
    <row r="25" spans="1:3" ht="18" x14ac:dyDescent="0.25">
      <c r="A25" s="36" t="s">
        <v>25</v>
      </c>
      <c r="B25" s="31">
        <v>14051196.84</v>
      </c>
      <c r="C25" s="31">
        <v>14321819.220000001</v>
      </c>
    </row>
    <row r="26" spans="1:3" ht="18" x14ac:dyDescent="0.25">
      <c r="A26" s="36" t="s">
        <v>26</v>
      </c>
      <c r="B26" s="31">
        <v>3046844.88</v>
      </c>
      <c r="C26" s="31">
        <v>3137294.94</v>
      </c>
    </row>
    <row r="27" spans="1:3" ht="18" x14ac:dyDescent="0.25">
      <c r="A27" s="36" t="s">
        <v>27</v>
      </c>
      <c r="B27" s="31">
        <v>7243948.0599999996</v>
      </c>
      <c r="C27" s="31">
        <v>7467989.54</v>
      </c>
    </row>
    <row r="28" spans="1:3" ht="18" x14ac:dyDescent="0.25">
      <c r="A28" s="36" t="s">
        <v>28</v>
      </c>
      <c r="B28" s="31">
        <v>6735378.5</v>
      </c>
      <c r="C28" s="31">
        <v>6905577.7199999997</v>
      </c>
    </row>
    <row r="29" spans="1:3" ht="18" x14ac:dyDescent="0.25">
      <c r="A29" s="36" t="s">
        <v>29</v>
      </c>
      <c r="B29" s="31">
        <v>5578627.6200000001</v>
      </c>
      <c r="C29" s="31">
        <v>5709087.3899999997</v>
      </c>
    </row>
    <row r="30" spans="1:3" ht="18" x14ac:dyDescent="0.25">
      <c r="A30" s="36" t="s">
        <v>30</v>
      </c>
      <c r="B30" s="31">
        <v>4581938.62</v>
      </c>
      <c r="C30" s="31">
        <v>4654138.58</v>
      </c>
    </row>
    <row r="31" spans="1:3" ht="18" x14ac:dyDescent="0.25">
      <c r="A31" s="36" t="s">
        <v>31</v>
      </c>
      <c r="B31" s="31">
        <v>8337307.3499999996</v>
      </c>
      <c r="C31" s="31">
        <v>8512751.8399999999</v>
      </c>
    </row>
    <row r="32" spans="1:3" ht="18" x14ac:dyDescent="0.25">
      <c r="A32" s="36" t="s">
        <v>32</v>
      </c>
      <c r="B32" s="31">
        <v>4942538.2</v>
      </c>
      <c r="C32" s="31">
        <v>5058599.3099999996</v>
      </c>
    </row>
    <row r="33" spans="1:3" ht="18" x14ac:dyDescent="0.25">
      <c r="A33" s="36" t="s">
        <v>33</v>
      </c>
      <c r="B33" s="31">
        <v>7833539.9699999997</v>
      </c>
      <c r="C33" s="31">
        <v>8003817.7199999997</v>
      </c>
    </row>
    <row r="34" spans="1:3" ht="18" x14ac:dyDescent="0.25">
      <c r="A34" s="36" t="s">
        <v>34</v>
      </c>
      <c r="B34" s="31">
        <v>6833417.7999999998</v>
      </c>
      <c r="C34" s="31">
        <v>7045938.0499999998</v>
      </c>
    </row>
    <row r="35" spans="1:3" ht="18" x14ac:dyDescent="0.25">
      <c r="A35" s="36" t="s">
        <v>35</v>
      </c>
      <c r="B35" s="31">
        <v>3801925.59</v>
      </c>
      <c r="C35" s="31">
        <v>3903609.22</v>
      </c>
    </row>
    <row r="36" spans="1:3" ht="18" x14ac:dyDescent="0.25">
      <c r="A36" s="36" t="s">
        <v>36</v>
      </c>
      <c r="B36" s="31">
        <v>3845958.56</v>
      </c>
      <c r="C36" s="31">
        <v>3942360.37</v>
      </c>
    </row>
    <row r="37" spans="1:3" ht="18" x14ac:dyDescent="0.25">
      <c r="A37" s="36" t="s">
        <v>37</v>
      </c>
      <c r="B37" s="31">
        <v>6184086.7199999997</v>
      </c>
      <c r="C37" s="31">
        <v>6373594.0599999996</v>
      </c>
    </row>
    <row r="38" spans="1:3" ht="18" x14ac:dyDescent="0.25">
      <c r="A38" s="48" t="s">
        <v>108</v>
      </c>
      <c r="B38" s="68">
        <f>SUM(B2:B37)</f>
        <v>225403671.51000002</v>
      </c>
      <c r="C38" s="68">
        <f>SUM(C2:C37)</f>
        <v>231241550.80000004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2695-6A4D-4308-8CC0-DF1E07090CF3}">
  <dimension ref="A1:C38"/>
  <sheetViews>
    <sheetView workbookViewId="0">
      <selection activeCell="S35" sqref="S35"/>
    </sheetView>
  </sheetViews>
  <sheetFormatPr baseColWidth="10" defaultColWidth="9" defaultRowHeight="14" x14ac:dyDescent="0.2"/>
  <cols>
    <col min="1" max="1" width="16.3984375" customWidth="1"/>
    <col min="2" max="2" width="23.3984375" customWidth="1"/>
    <col min="3" max="3" width="29.59765625" bestFit="1" customWidth="1"/>
  </cols>
  <sheetData>
    <row r="1" spans="1:3" ht="18" x14ac:dyDescent="0.2">
      <c r="A1" s="66" t="s">
        <v>1</v>
      </c>
      <c r="B1" s="67" t="s">
        <v>142</v>
      </c>
      <c r="C1" s="46" t="s">
        <v>141</v>
      </c>
    </row>
    <row r="2" spans="1:3" ht="18" x14ac:dyDescent="0.25">
      <c r="A2" s="36" t="s">
        <v>2</v>
      </c>
      <c r="B2" s="31">
        <v>4373980.8</v>
      </c>
      <c r="C2" s="38">
        <v>145172555775.71997</v>
      </c>
    </row>
    <row r="3" spans="1:3" ht="18" x14ac:dyDescent="0.25">
      <c r="A3" s="36" t="s">
        <v>3</v>
      </c>
      <c r="B3" s="31">
        <v>5183925.22</v>
      </c>
      <c r="C3" s="38">
        <v>161964579012.42999</v>
      </c>
    </row>
    <row r="4" spans="1:3" ht="18" x14ac:dyDescent="0.25">
      <c r="A4" s="36" t="s">
        <v>4</v>
      </c>
      <c r="B4" s="31">
        <v>5133482.57</v>
      </c>
      <c r="C4" s="38">
        <v>442227039000</v>
      </c>
    </row>
    <row r="5" spans="1:3" ht="18" x14ac:dyDescent="0.25">
      <c r="A5" s="36" t="s">
        <v>5</v>
      </c>
      <c r="B5" s="31">
        <v>6254054.5700000003</v>
      </c>
      <c r="C5" s="38">
        <v>162551996113.79999</v>
      </c>
    </row>
    <row r="6" spans="1:3" ht="18" x14ac:dyDescent="0.25">
      <c r="A6" s="36" t="s">
        <v>6</v>
      </c>
      <c r="B6" s="31">
        <v>8868047.6799999997</v>
      </c>
      <c r="C6" s="38">
        <v>160479094079.09003</v>
      </c>
    </row>
    <row r="7" spans="1:3" ht="18" x14ac:dyDescent="0.25">
      <c r="A7" s="36" t="s">
        <v>7</v>
      </c>
      <c r="B7" s="31">
        <v>2667078.71</v>
      </c>
      <c r="C7" s="38">
        <v>492345363512.27002</v>
      </c>
    </row>
    <row r="8" spans="1:3" ht="18" x14ac:dyDescent="0.25">
      <c r="A8" s="36" t="s">
        <v>8</v>
      </c>
      <c r="B8" s="31">
        <v>6416436.6200000001</v>
      </c>
      <c r="C8" s="38">
        <v>121269218040.12</v>
      </c>
    </row>
    <row r="9" spans="1:3" ht="18" x14ac:dyDescent="0.25">
      <c r="A9" s="36" t="s">
        <v>9</v>
      </c>
      <c r="B9" s="31">
        <v>6436142.8700000001</v>
      </c>
      <c r="C9" s="38">
        <v>199592937267</v>
      </c>
    </row>
    <row r="10" spans="1:3" ht="18" x14ac:dyDescent="0.25">
      <c r="A10" s="36" t="s">
        <v>10</v>
      </c>
      <c r="B10" s="31">
        <v>4600661.04</v>
      </c>
      <c r="C10" s="38">
        <v>136438749520.8</v>
      </c>
    </row>
    <row r="11" spans="1:3" ht="18" x14ac:dyDescent="0.25">
      <c r="A11" s="36" t="s">
        <v>11</v>
      </c>
      <c r="B11" s="31">
        <v>5887050.8700000001</v>
      </c>
      <c r="C11" s="38">
        <v>579502987944.22998</v>
      </c>
    </row>
    <row r="12" spans="1:3" ht="18" x14ac:dyDescent="0.25">
      <c r="A12" s="36" t="s">
        <v>12</v>
      </c>
      <c r="B12" s="31">
        <v>3416070.87</v>
      </c>
      <c r="C12" s="38">
        <v>130871817116.42</v>
      </c>
    </row>
    <row r="13" spans="1:3" ht="18" x14ac:dyDescent="0.25">
      <c r="A13" s="36" t="s">
        <v>13</v>
      </c>
      <c r="B13" s="31">
        <v>5040581.24</v>
      </c>
      <c r="C13" s="38">
        <v>272382613492.56</v>
      </c>
    </row>
    <row r="14" spans="1:3" ht="18" x14ac:dyDescent="0.25">
      <c r="A14" s="36" t="s">
        <v>14</v>
      </c>
      <c r="B14" s="31">
        <v>3793623.44</v>
      </c>
      <c r="C14" s="38">
        <v>130507295495.89</v>
      </c>
    </row>
    <row r="15" spans="1:3" ht="18" x14ac:dyDescent="0.25">
      <c r="A15" s="36" t="s">
        <v>15</v>
      </c>
      <c r="B15" s="31">
        <v>5065162.42</v>
      </c>
      <c r="C15" s="38">
        <v>179693720216.44</v>
      </c>
    </row>
    <row r="16" spans="1:3" ht="18" x14ac:dyDescent="0.25">
      <c r="A16" s="36" t="s">
        <v>16</v>
      </c>
      <c r="B16" s="31">
        <v>4210793.2699999996</v>
      </c>
      <c r="C16" s="38">
        <v>161730514615.45001</v>
      </c>
    </row>
    <row r="17" spans="1:3" ht="18" x14ac:dyDescent="0.25">
      <c r="A17" s="36" t="s">
        <v>17</v>
      </c>
      <c r="B17" s="31">
        <v>5684486.5499999998</v>
      </c>
      <c r="C17" s="38">
        <v>193211323917.04999</v>
      </c>
    </row>
    <row r="18" spans="1:3" ht="18" x14ac:dyDescent="0.25">
      <c r="A18" s="36" t="s">
        <v>18</v>
      </c>
      <c r="B18" s="31">
        <v>7980408.1699999999</v>
      </c>
      <c r="C18" s="38">
        <v>277791097635.89001</v>
      </c>
    </row>
    <row r="19" spans="1:3" ht="18" x14ac:dyDescent="0.25">
      <c r="A19" s="36" t="s">
        <v>19</v>
      </c>
      <c r="B19" s="31">
        <v>9511506.3599999994</v>
      </c>
      <c r="C19" s="38">
        <v>238746818351.5</v>
      </c>
    </row>
    <row r="20" spans="1:3" ht="18" x14ac:dyDescent="0.25">
      <c r="A20" s="36" t="s">
        <v>20</v>
      </c>
      <c r="B20" s="31">
        <v>16441383.32</v>
      </c>
      <c r="C20" s="38">
        <v>274398734999.99719</v>
      </c>
    </row>
    <row r="21" spans="1:3" ht="18" x14ac:dyDescent="0.25">
      <c r="A21" s="36" t="s">
        <v>21</v>
      </c>
      <c r="B21" s="31">
        <v>11099158.630000001</v>
      </c>
      <c r="C21" s="38">
        <v>143263642987.59003</v>
      </c>
    </row>
    <row r="22" spans="1:3" ht="18" x14ac:dyDescent="0.25">
      <c r="A22" s="36" t="s">
        <v>22</v>
      </c>
      <c r="B22" s="31">
        <v>5925537.5599999996</v>
      </c>
      <c r="C22" s="45">
        <v>113182521631.17</v>
      </c>
    </row>
    <row r="23" spans="1:3" ht="18" x14ac:dyDescent="0.25">
      <c r="A23" s="36" t="s">
        <v>23</v>
      </c>
      <c r="B23" s="31">
        <v>4663319.71</v>
      </c>
      <c r="C23" s="45">
        <v>176055349179.90036</v>
      </c>
    </row>
    <row r="24" spans="1:3" ht="18" x14ac:dyDescent="0.25">
      <c r="A24" s="36" t="s">
        <v>24</v>
      </c>
      <c r="B24" s="31">
        <v>3734070.31</v>
      </c>
      <c r="C24" s="45">
        <v>181625331210.22</v>
      </c>
    </row>
    <row r="25" spans="1:3" ht="18" x14ac:dyDescent="0.25">
      <c r="A25" s="36" t="s">
        <v>25</v>
      </c>
      <c r="B25" s="31">
        <v>14051196.84</v>
      </c>
      <c r="C25" s="45">
        <v>1558472503000</v>
      </c>
    </row>
    <row r="26" spans="1:3" ht="18" x14ac:dyDescent="0.25">
      <c r="A26" s="36" t="s">
        <v>26</v>
      </c>
      <c r="B26" s="31">
        <v>3046844.88</v>
      </c>
      <c r="C26" s="45">
        <v>154972860488.38</v>
      </c>
    </row>
    <row r="27" spans="1:3" ht="18" x14ac:dyDescent="0.25">
      <c r="A27" s="36" t="s">
        <v>27</v>
      </c>
      <c r="B27" s="31">
        <v>7243948.0599999996</v>
      </c>
      <c r="C27" s="45">
        <v>247984599986.07001</v>
      </c>
    </row>
    <row r="28" spans="1:3" ht="18" x14ac:dyDescent="0.25">
      <c r="A28" s="36" t="s">
        <v>28</v>
      </c>
      <c r="B28" s="31">
        <v>6735378.5</v>
      </c>
      <c r="C28" s="45">
        <v>278509094383.52002</v>
      </c>
    </row>
    <row r="29" spans="1:3" ht="18" x14ac:dyDescent="0.25">
      <c r="A29" s="36" t="s">
        <v>29</v>
      </c>
      <c r="B29" s="31">
        <v>5578627.6200000001</v>
      </c>
      <c r="C29" s="45">
        <v>212945504885.83997</v>
      </c>
    </row>
    <row r="30" spans="1:3" ht="18" x14ac:dyDescent="0.25">
      <c r="A30" s="36" t="s">
        <v>30</v>
      </c>
      <c r="B30" s="31">
        <v>4581938.62</v>
      </c>
      <c r="C30" s="45">
        <v>153444576666.09998</v>
      </c>
    </row>
    <row r="31" spans="1:3" ht="18" x14ac:dyDescent="0.25">
      <c r="A31" s="36" t="s">
        <v>31</v>
      </c>
      <c r="B31" s="31">
        <v>8337307.3499999996</v>
      </c>
      <c r="C31" s="45">
        <v>238976338252.5</v>
      </c>
    </row>
    <row r="32" spans="1:3" ht="18" x14ac:dyDescent="0.25">
      <c r="A32" s="36" t="s">
        <v>32</v>
      </c>
      <c r="B32" s="31">
        <v>4942538.2</v>
      </c>
      <c r="C32" s="45">
        <v>184727050008.28003</v>
      </c>
    </row>
    <row r="33" spans="1:3" ht="18" x14ac:dyDescent="0.25">
      <c r="A33" s="36" t="s">
        <v>33</v>
      </c>
      <c r="B33" s="31">
        <v>7833539.9699999997</v>
      </c>
      <c r="C33" s="45">
        <v>730868293558.32996</v>
      </c>
    </row>
    <row r="34" spans="1:3" ht="18" x14ac:dyDescent="0.25">
      <c r="A34" s="36" t="s">
        <v>34</v>
      </c>
      <c r="B34" s="31">
        <v>6833417.7999999998</v>
      </c>
      <c r="C34" s="45">
        <v>131486834661.59</v>
      </c>
    </row>
    <row r="35" spans="1:3" ht="18" x14ac:dyDescent="0.25">
      <c r="A35" s="36" t="s">
        <v>35</v>
      </c>
      <c r="B35" s="31">
        <v>3801925.59</v>
      </c>
      <c r="C35" s="45">
        <v>109678293878.32001</v>
      </c>
    </row>
    <row r="36" spans="1:3" ht="18" x14ac:dyDescent="0.25">
      <c r="A36" s="36" t="s">
        <v>36</v>
      </c>
      <c r="B36" s="31">
        <v>3845958.56</v>
      </c>
      <c r="C36" s="45">
        <v>147291821606.66003</v>
      </c>
    </row>
    <row r="37" spans="1:3" ht="18" x14ac:dyDescent="0.25">
      <c r="A37" s="36" t="s">
        <v>37</v>
      </c>
      <c r="B37" s="31">
        <v>6184086.7199999997</v>
      </c>
      <c r="C37" s="45">
        <v>118998787849.71001</v>
      </c>
    </row>
    <row r="38" spans="1:3" ht="18" x14ac:dyDescent="0.25">
      <c r="A38" s="48" t="s">
        <v>108</v>
      </c>
      <c r="B38" s="68">
        <f>SUM(B2:B37)</f>
        <v>225403671.51000002</v>
      </c>
      <c r="C38" s="49">
        <f>SUM(C2:C37)</f>
        <v>9343361860340.8379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Actual_Revenue</vt:lpstr>
      <vt:lpstr>Actual_Expenditure </vt:lpstr>
      <vt:lpstr>Total_Budget_Revenue </vt:lpstr>
      <vt:lpstr>Total_Budget_Expenditure</vt:lpstr>
      <vt:lpstr>Total_Expen_Original_and_Actual</vt:lpstr>
      <vt:lpstr>Geo_Pol_Original_Exp</vt:lpstr>
      <vt:lpstr>Expenditure_by_Function</vt:lpstr>
      <vt:lpstr>Expenditure_by_Programme</vt:lpstr>
      <vt:lpstr>Population</vt:lpstr>
      <vt:lpstr>Population_23_Act_Total 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Olubunmi Akanbi</dc:creator>
  <cp:lastModifiedBy>Opemipo Alomaja</cp:lastModifiedBy>
  <dcterms:created xsi:type="dcterms:W3CDTF">2023-04-18T15:01:44Z</dcterms:created>
  <dcterms:modified xsi:type="dcterms:W3CDTF">2026-06-11T17:28:28Z</dcterms:modified>
</cp:coreProperties>
</file>